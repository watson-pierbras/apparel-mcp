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(WIP) - XC Standard Bundles" sheetId="1" state="visible" r:id="rId3"/>
    <sheet name="(WIP) XC Promo Bundles" sheetId="2" state="visible" r:id="rId4"/>
    <sheet name="XC DTF Bundles (SanMar)" sheetId="3" state="visible" r:id="rId5"/>
    <sheet name="XC DTF Bundles (S&amp;S)" sheetId="4" state="hidden" r:id="rId6"/>
    <sheet name="Individual Pricing" sheetId="5" state="visible" r:id="rId7"/>
    <sheet name="Formula Pricing Model" sheetId="6" state="visible" r:id="rId8"/>
    <sheet name="DTF Margin Analysis" sheetId="7" state="visible" r:id="rId9"/>
    <sheet name="DTF Cost Reference" sheetId="8" state="visible" r:id="rId10"/>
    <sheet name="Competitive Positioning" sheetId="9" state="hidden" r:id="rId11"/>
    <sheet name="Email Campaigns" sheetId="10" state="visible" r:id="rId12"/>
    <sheet name="Season &amp; Campaign Timeline" sheetId="11" state="hidden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<sst xmlns="http://schemas.openxmlformats.org/spreadsheetml/2006/main" count="1408" uniqueCount="631">
  <si>
    <t xml:space="preserve">COMPOUND SPORTSWEAR — Cross Country Standard Bundles (Bulk)</t>
  </si>
  <si>
    <t xml:space="preserve">Minimum: 14 Bundles  |  Custom Bundle Pricing Tier  |  Fall 2026</t>
  </si>
  <si>
    <t xml:space="preserve">BUNDLE NAME / PRODUCT</t>
  </si>
  <si>
    <t xml:space="preserve">ITEM DETAIL</t>
  </si>
  <si>
    <t xml:space="preserve">BUNDLE PRICE</t>
  </si>
  <si>
    <t xml:space="preserve">UPGRADE ITEM</t>
  </si>
  <si>
    <t xml:space="preserve">UPGRADE PRICE</t>
  </si>
  <si>
    <t xml:space="preserve">Race Kit Bundle</t>
  </si>
  <si>
    <t xml:space="preserve">Fitted Track Tank / Racerback Jersey</t>
  </si>
  <si>
    <t xml:space="preserve">Sublimated</t>
  </si>
  <si>
    <t xml:space="preserve">Training Short</t>
  </si>
  <si>
    <t xml:space="preserve">Minimum: 14 Bundles</t>
  </si>
  <si>
    <t xml:space="preserve">TOTAL</t>
  </si>
  <si>
    <t xml:space="preserve">Starter Bundle</t>
  </si>
  <si>
    <t xml:space="preserve">Short Sleeve T-Shirt</t>
  </si>
  <si>
    <t xml:space="preserve">1-Color Screen Print (M&amp;O Gold 4800)</t>
  </si>
  <si>
    <t xml:space="preserve">Practice Bundle</t>
  </si>
  <si>
    <t xml:space="preserve">Dri-Fit Short</t>
  </si>
  <si>
    <t xml:space="preserve">Black or Silver</t>
  </si>
  <si>
    <t xml:space="preserve">Training Bundle</t>
  </si>
  <si>
    <t xml:space="preserve">Screen Print (M&amp;O Gold 4800)</t>
  </si>
  <si>
    <t xml:space="preserve">Long Sleeve T-Shirt</t>
  </si>
  <si>
    <t xml:space="preserve">Hooded Fleece</t>
  </si>
  <si>
    <t xml:space="preserve">Screen Print</t>
  </si>
  <si>
    <t xml:space="preserve">Jogger</t>
  </si>
  <si>
    <t xml:space="preserve">Screen Print (NuBlend)</t>
  </si>
  <si>
    <t xml:space="preserve">Warm-Up Bundle</t>
  </si>
  <si>
    <t xml:space="preserve">Momentum 1/4 Zip Jacket</t>
  </si>
  <si>
    <t xml:space="preserve">Momentum Jogger</t>
  </si>
  <si>
    <t xml:space="preserve">Varsity Bundle</t>
  </si>
  <si>
    <t xml:space="preserve">Performance Short Sleeve Shirt</t>
  </si>
  <si>
    <t xml:space="preserve">Invitational Bundle</t>
  </si>
  <si>
    <t xml:space="preserve">State Bundle</t>
  </si>
  <si>
    <t xml:space="preserve">Warm Up Jacket</t>
  </si>
  <si>
    <t xml:space="preserve">Summit Bag (Add-on)</t>
  </si>
  <si>
    <t xml:space="preserve">Championship Bundle</t>
  </si>
  <si>
    <t xml:space="preserve">Warm Up Jacket / Windbreaker</t>
  </si>
  <si>
    <t xml:space="preserve">Performance Long Sleeve Shirt</t>
  </si>
  <si>
    <t xml:space="preserve">Program Bundle</t>
  </si>
  <si>
    <t xml:space="preserve">Hooded Warm Up Jacket</t>
  </si>
  <si>
    <t xml:space="preserve">Crewneck Fleece</t>
  </si>
  <si>
    <t xml:space="preserve">COMPOUND SPORTSWEAR — Cross Country Promo Bundles</t>
  </si>
  <si>
    <t xml:space="preserve">Limited-Time Promotional Pricing  |  Fall 2026</t>
  </si>
  <si>
    <t xml:space="preserve">PROMO PRICE</t>
  </si>
  <si>
    <t xml:space="preserve">PROMO DATES</t>
  </si>
  <si>
    <t xml:space="preserve">ONLINE SHOP PRICE</t>
  </si>
  <si>
    <t xml:space="preserve">Labor</t>
  </si>
  <si>
    <t xml:space="preserve">Item COGS</t>
  </si>
  <si>
    <t xml:space="preserve">Early Bird Race Kit</t>
  </si>
  <si>
    <t xml:space="preserve">Loose Fit Track Tank / Fitted Track Tank / Racerback Jersey</t>
  </si>
  <si>
    <t xml:space="preserve">Apr 27 — Jun 8</t>
  </si>
  <si>
    <t xml:space="preserve">NET MARGIN</t>
  </si>
  <si>
    <t xml:space="preserve">Spring Commit Bundle</t>
  </si>
  <si>
    <t xml:space="preserve">Wingfoot Ready Bundle</t>
  </si>
  <si>
    <t xml:space="preserve">Jun 8 — Jul 8</t>
  </si>
  <si>
    <t xml:space="preserve">COMPOUND SPORTSWEAR — XC DTF Bundles (SanMar Sport-Tek)</t>
  </si>
  <si>
    <t xml:space="preserve">Min: 14 Bundles  |  SanMar Sport-Tek Blanks  |  DTF via Stahls UCMAX  |  Fall 2026</t>
  </si>
  <si>
    <t xml:space="preserve">Pricing Formula: (Blank × 2) + DTF Transfer + Labor  |  DTF rate shown at 25-49 qty tier ($0.055/sq in) — see DTF Cost Reference tab for all tiers</t>
  </si>
  <si>
    <t xml:space="preserve">PRODUCT</t>
  </si>
  <si>
    <t xml:space="preserve">BLANK
COST</t>
  </si>
  <si>
    <t xml:space="preserve">×2 PRODUCT
BUFFER</t>
  </si>
  <si>
    <t xml:space="preserve">DTF PLACEMENT
(Sq In × Rate)</t>
  </si>
  <si>
    <t xml:space="preserve">DTF
TRANSFER</t>
  </si>
  <si>
    <t xml:space="preserve">LABOR</t>
  </si>
  <si>
    <t xml:space="preserve">ITEM
COGS</t>
  </si>
  <si>
    <t xml:space="preserve">BUNDLE
PRICE</t>
  </si>
  <si>
    <t xml:space="preserve">DTF Race Kit</t>
  </si>
  <si>
    <t xml:space="preserve">Men's Club Track Tank / Women's Club Track Tank</t>
  </si>
  <si>
    <t xml:space="preserve">DTF (Sport-Tek ST446/LST446)</t>
  </si>
  <si>
    <t xml:space="preserve">78.57 sq in × $0.055</t>
  </si>
  <si>
    <t xml:space="preserve">Men's Club Track Short / Women's Club Track Short</t>
  </si>
  <si>
    <t xml:space="preserve">DTF (Sport-Tek ST447/LST447)</t>
  </si>
  <si>
    <t xml:space="preserve">12.25 sq in × $0.055</t>
  </si>
  <si>
    <t xml:space="preserve">TOTAL COGS</t>
  </si>
  <si>
    <t xml:space="preserve">DTF Starter Kit</t>
  </si>
  <si>
    <t xml:space="preserve">DTF (M&amp;O Gold 4800)</t>
  </si>
  <si>
    <t xml:space="preserve">DTF Practice Pack</t>
  </si>
  <si>
    <t xml:space="preserve">Men's Competitor Tank / Women's Competitor Racerback</t>
  </si>
  <si>
    <t xml:space="preserve">DTF (Sport-Tek ST356/LST356)</t>
  </si>
  <si>
    <t xml:space="preserve">DTF Training Bundle</t>
  </si>
  <si>
    <t xml:space="preserve">DTF Varsity Bundle</t>
  </si>
  <si>
    <t xml:space="preserve">DTF (Port &amp; Co PC90)</t>
  </si>
  <si>
    <t xml:space="preserve">DTF Reversible Bundle</t>
  </si>
  <si>
    <t xml:space="preserve">Competitor Reversible Tank (2 Colors)</t>
  </si>
  <si>
    <t xml:space="preserve">DTF (Sport-Tek ST551)</t>
  </si>
  <si>
    <t xml:space="preserve">DTF Team Bundle</t>
  </si>
  <si>
    <t xml:space="preserve">DTF (Port &amp; Co PC90H)</t>
  </si>
  <si>
    <t xml:space="preserve">DTF (Port &amp; Co PC78J)</t>
  </si>
  <si>
    <t xml:space="preserve">DTF Program Bundle</t>
  </si>
  <si>
    <t xml:space="preserve">PROMO BUNDLES — Limited Time, Deadline-Driven</t>
  </si>
  <si>
    <t xml:space="preserve">Early Bird DTF Race Kit  —  Ends June 8</t>
  </si>
  <si>
    <t xml:space="preserve">DTF Spring Commit  —  Ends June 8</t>
  </si>
  <si>
    <t xml:space="preserve">DTF Wingfoot Ready  —  June 8 to July 8</t>
  </si>
  <si>
    <t xml:space="preserve">DTF (A4 N5387)</t>
  </si>
  <si>
    <t xml:space="preserve">COMPOUND SPORTSWEAR — XC DTF Bundles (S&amp;S Activewear)</t>
  </si>
  <si>
    <t xml:space="preserve">Min: 14 Bundles  |  S&amp;S Alleson Blanks (Avg. Men's/Women's costs)  |  DTF via Stahls UCMAX  |  Fall 2026</t>
  </si>
  <si>
    <t xml:space="preserve">UPGRADE
PRICE</t>
  </si>
  <si>
    <t xml:space="preserve">Men's Ventback Singlet / Women's Stride Singlet</t>
  </si>
  <si>
    <t xml:space="preserve">DTF (Alleson 8668/8967)</t>
  </si>
  <si>
    <t xml:space="preserve">Fitted Track Tank / Racerback (Sublimated)</t>
  </si>
  <si>
    <t xml:space="preserve">Men's B-Core Track Short / Women's Stride Short</t>
  </si>
  <si>
    <t xml:space="preserve">DTF (Alleson 7272/7274)</t>
  </si>
  <si>
    <t xml:space="preserve">Training Short (Sublimated)</t>
  </si>
  <si>
    <t xml:space="preserve">Men's B-Core Tank / Women's Stride Singlet</t>
  </si>
  <si>
    <t xml:space="preserve">DTF (Alleson 8662/8967)</t>
  </si>
  <si>
    <t xml:space="preserve">DTF (Alleson 8668/8967 )</t>
  </si>
  <si>
    <t xml:space="preserve">COMPOUND SPORTSWEAR — Individual DTF / Screen Print Pricing</t>
  </si>
  <si>
    <t xml:space="preserve">Tiered pricing by quantity  |  DTF decoration via Stahls UCMAX  |  CMP Pricing Formula: (Blank × 2) + Deco + Labor + Margin</t>
  </si>
  <si>
    <t xml:space="preserve">TEAM ITEMS — DTF Decorated (Track / Cross Country Uniforms &amp; Apparel)</t>
  </si>
  <si>
    <t xml:space="preserve">STYLE #</t>
  </si>
  <si>
    <t xml:space="preserve">PRODUCT NAME</t>
  </si>
  <si>
    <t xml:space="preserve">STARTING
PRICE</t>
  </si>
  <si>
    <t xml:space="preserve">12–24
UNITS</t>
  </si>
  <si>
    <t xml:space="preserve">25–50
UNITS</t>
  </si>
  <si>
    <t xml:space="preserve">50+
UNITS</t>
  </si>
  <si>
    <t xml:space="preserve">BUNDLE
PRICING</t>
  </si>
  <si>
    <t xml:space="preserve">ONLINE SHOP
PRICE</t>
  </si>
  <si>
    <t xml:space="preserve">SanMar Sport-Tek — Track / XC Uniforms</t>
  </si>
  <si>
    <t xml:space="preserve">ST446 / LST446</t>
  </si>
  <si>
    <t xml:space="preserve">Club Track Tank (Men's / Women's)</t>
  </si>
  <si>
    <t xml:space="preserve">YST446</t>
  </si>
  <si>
    <t xml:space="preserve">Youth Club Track Tank</t>
  </si>
  <si>
    <t xml:space="preserve">ST447 / LST447</t>
  </si>
  <si>
    <t xml:space="preserve">Club Track Short (Men's 4" / Women's 3")</t>
  </si>
  <si>
    <t xml:space="preserve">ST356 / LST356</t>
  </si>
  <si>
    <t xml:space="preserve">Competitor Tank / Racerback Tank</t>
  </si>
  <si>
    <t xml:space="preserve">ST551</t>
  </si>
  <si>
    <t xml:space="preserve">Competitor Reversible Tank</t>
  </si>
  <si>
    <t xml:space="preserve">YST551</t>
  </si>
  <si>
    <t xml:space="preserve">Youth Competitor Reversible Tank</t>
  </si>
  <si>
    <t xml:space="preserve">S&amp;S Activewear — Alleson Track / XC Uniforms</t>
  </si>
  <si>
    <t xml:space="preserve">8668</t>
  </si>
  <si>
    <t xml:space="preserve">Alleson Ventback Singlet (Men's)</t>
  </si>
  <si>
    <t xml:space="preserve">8967</t>
  </si>
  <si>
    <t xml:space="preserve">Alleson Stride Singlet (Women's)</t>
  </si>
  <si>
    <t xml:space="preserve">8662</t>
  </si>
  <si>
    <t xml:space="preserve">Alleson B-Core Tank (Unisex)</t>
  </si>
  <si>
    <t xml:space="preserve">7272</t>
  </si>
  <si>
    <t xml:space="preserve">Alleson B-Core Track Short (Men's)</t>
  </si>
  <si>
    <t xml:space="preserve">7274</t>
  </si>
  <si>
    <t xml:space="preserve">Alleson Stride Short (Women's)</t>
  </si>
  <si>
    <t xml:space="preserve">DTF Apparel — Tees, Fleece, Bottoms (Team Spirit Items)</t>
  </si>
  <si>
    <t xml:space="preserve">3001 / 6400</t>
  </si>
  <si>
    <t xml:space="preserve">Softstyle Tee / Women's Softstyle Tee</t>
  </si>
  <si>
    <t xml:space="preserve">3001Y</t>
  </si>
  <si>
    <t xml:space="preserve">Youth Softstyle Tee</t>
  </si>
  <si>
    <t xml:space="preserve">3501</t>
  </si>
  <si>
    <t xml:space="preserve">Long Sleeve Tee</t>
  </si>
  <si>
    <t xml:space="preserve">3501Y</t>
  </si>
  <si>
    <t xml:space="preserve">Youth Long Sleeve Tee</t>
  </si>
  <si>
    <t xml:space="preserve">3480 / 1533</t>
  </si>
  <si>
    <t xml:space="preserve">Men's Tank Top / Women's Tank Top</t>
  </si>
  <si>
    <t xml:space="preserve">PC90</t>
  </si>
  <si>
    <t xml:space="preserve">Port &amp; Co Crewneck Fleece</t>
  </si>
  <si>
    <t xml:space="preserve">PC90Y</t>
  </si>
  <si>
    <t xml:space="preserve">Port &amp; Co Youth Crewneck Fleece</t>
  </si>
  <si>
    <t xml:space="preserve">PC90H</t>
  </si>
  <si>
    <t xml:space="preserve">Port &amp; Co Hooded Fleece</t>
  </si>
  <si>
    <t xml:space="preserve">LPC78H</t>
  </si>
  <si>
    <t xml:space="preserve">Port &amp; Co Women's Hooded Fleece</t>
  </si>
  <si>
    <t xml:space="preserve">PC90YH</t>
  </si>
  <si>
    <t xml:space="preserve">Port &amp; Co Youth Hooded Fleece</t>
  </si>
  <si>
    <t xml:space="preserve">PC78J</t>
  </si>
  <si>
    <t xml:space="preserve">Port &amp; Co Fleece Jogger</t>
  </si>
  <si>
    <t xml:space="preserve">PC78YJ</t>
  </si>
  <si>
    <t xml:space="preserve">Port &amp; Co Youth Fleece Jogger</t>
  </si>
  <si>
    <t xml:space="preserve">N5387</t>
  </si>
  <si>
    <t xml:space="preserve">A4 Dri-Fit Short</t>
  </si>
  <si>
    <t xml:space="preserve">NB5244</t>
  </si>
  <si>
    <t xml:space="preserve">A4 Youth Dri-Fit Short</t>
  </si>
  <si>
    <t xml:space="preserve">212011-009</t>
  </si>
  <si>
    <t xml:space="preserve">Spiritwear High Waisted Legging</t>
  </si>
  <si>
    <t xml:space="preserve">• DTF rates: 12-24 pcs @ $0.060/sq in  |  25-50 pcs @ $0.055/sq in  |  50+ pcs @ $0.050/sq in (Stahls UCMAX per-image)</t>
  </si>
  <si>
    <t xml:space="preserve">• Margin targets: 12-24 = 40%  |  25-50 = 30%  |  50+ = 25%  |  Bundle = 20%  |  Online Shop = 12-24 tier (assumes minimum qty)</t>
  </si>
  <si>
    <t xml:space="preserve">• Formula: (Blank × 2) + (Sq In × DTF Rate) + $0.50 Labor = Base Cost, then ÷ (1 − Margin%) = Sell Price, rounded up</t>
  </si>
  <si>
    <t xml:space="preserve">• Full Chest Straight: 78.57 sq in (11.85" × 6.63")  |  Thigh Logo: 12.25 sq in (3.5" × 3.5")  |  Labor: $0.50/placement</t>
  </si>
  <si>
    <t xml:space="preserve">• "Starting Price" = CMP blank cost (blue = hardcoded input). All other columns are formula-derived.</t>
  </si>
  <si>
    <t xml:space="preserve">SPIRIT WEAR ITEMS — Online Shop &amp; Bulk (from Baseball Spirit Pack Catalog)</t>
  </si>
  <si>
    <t xml:space="preserve">Tops</t>
  </si>
  <si>
    <t xml:space="preserve">ST400</t>
  </si>
  <si>
    <t xml:space="preserve">SanMar - PosiCharge Tri-Blend Raglan Tee (SS)</t>
  </si>
  <si>
    <t xml:space="preserve">ST400LS</t>
  </si>
  <si>
    <t xml:space="preserve">SanMar - PosiCharge Tri-Blend Raglan Tee (LS)</t>
  </si>
  <si>
    <t xml:space="preserve">ST6040</t>
  </si>
  <si>
    <t xml:space="preserve">SanMar - Halftime Short Sleeve Tee</t>
  </si>
  <si>
    <t xml:space="preserve">LST410</t>
  </si>
  <si>
    <t xml:space="preserve">SanMar - Triblend Draft Hoodie Tank</t>
  </si>
  <si>
    <t xml:space="preserve">ST6044</t>
  </si>
  <si>
    <t xml:space="preserve">SanMar - Halftime Long Sleeve Unisex Hoodie</t>
  </si>
  <si>
    <t xml:space="preserve">LST60403</t>
  </si>
  <si>
    <t xml:space="preserve">SanMar - Women's Halftime LS Stripe V-Neck</t>
  </si>
  <si>
    <t xml:space="preserve">LNEA123</t>
  </si>
  <si>
    <t xml:space="preserve">New Era - Sueded Cotton Blend Cowl Tee</t>
  </si>
  <si>
    <t xml:space="preserve">LST6041</t>
  </si>
  <si>
    <t xml:space="preserve">SanMar - Women's Halftime Notch Neck Tee</t>
  </si>
  <si>
    <t xml:space="preserve">ST359</t>
  </si>
  <si>
    <t xml:space="preserve">Sport-Tek - Competitor 2-Button Henley</t>
  </si>
  <si>
    <t xml:space="preserve">LNEA108</t>
  </si>
  <si>
    <t xml:space="preserve">New Era - Heritage Blend Varsity Hoodie</t>
  </si>
  <si>
    <t xml:space="preserve">3001</t>
  </si>
  <si>
    <t xml:space="preserve">BELLA+CANVAS - Unisex Jersey SS Tee</t>
  </si>
  <si>
    <t xml:space="preserve">BELLA+CANVAS - Youth Jersey SS Tee</t>
  </si>
  <si>
    <t xml:space="preserve">6400</t>
  </si>
  <si>
    <t xml:space="preserve">BELLA+CANVAS - Women's Relaxed Jersey SS Tee</t>
  </si>
  <si>
    <t xml:space="preserve">BELLA+CANVAS - Unisex Jersey LS Tee</t>
  </si>
  <si>
    <t xml:space="preserve">BELLA+CANVAS - Youth Jersey LS Tee</t>
  </si>
  <si>
    <t xml:space="preserve">Bottoms</t>
  </si>
  <si>
    <t xml:space="preserve">ST485</t>
  </si>
  <si>
    <t xml:space="preserve">Sport-Tek - Repeat 7" Short</t>
  </si>
  <si>
    <t xml:space="preserve">PST485</t>
  </si>
  <si>
    <t xml:space="preserve">SanMar - Repeat Pant</t>
  </si>
  <si>
    <t xml:space="preserve">PST871</t>
  </si>
  <si>
    <t xml:space="preserve">Men's Sport-Tek Circuit Jogger</t>
  </si>
  <si>
    <t xml:space="preserve">LPST871</t>
  </si>
  <si>
    <t xml:space="preserve">Ladies Sport-Tek Circuit Jogger</t>
  </si>
  <si>
    <t xml:space="preserve">A4 5" Cooling Performance Shorts</t>
  </si>
  <si>
    <t xml:space="preserve">A4 4" Youth Cooling Performance Shorts</t>
  </si>
  <si>
    <t xml:space="preserve">Jackets</t>
  </si>
  <si>
    <t xml:space="preserve">JST489</t>
  </si>
  <si>
    <t xml:space="preserve">Sport-Tek - Repeat SS Cage 1/2-Zip Jacket (Adult)</t>
  </si>
  <si>
    <t xml:space="preserve">YST489</t>
  </si>
  <si>
    <t xml:space="preserve">Sport-Tek - Repeat SS Cage 1/2-Zip Jacket (Youth)</t>
  </si>
  <si>
    <t xml:space="preserve">JST488</t>
  </si>
  <si>
    <t xml:space="preserve">Sport-Tek - Repeat LS 1/2-Zip Hooded Jacket</t>
  </si>
  <si>
    <t xml:space="preserve">ST850</t>
  </si>
  <si>
    <t xml:space="preserve">Sport-Tek - Sport-Wick Stretch 1/4 Zip (Adult)</t>
  </si>
  <si>
    <t xml:space="preserve">LST850</t>
  </si>
  <si>
    <t xml:space="preserve">Sport-Tek - Sport-Wick Stretch 1/4 Zip (Ladies)</t>
  </si>
  <si>
    <t xml:space="preserve">NEA600</t>
  </si>
  <si>
    <t xml:space="preserve">New Era - Cage Short Sleeve 1/4-Zip Jacket</t>
  </si>
  <si>
    <t xml:space="preserve">YNEA600</t>
  </si>
  <si>
    <t xml:space="preserve">New Era Youth - Cage SS 1/4-Zip Jacket</t>
  </si>
  <si>
    <t xml:space="preserve">NEA523</t>
  </si>
  <si>
    <t xml:space="preserve">New Era - Venue 1/4 Zip Fleece</t>
  </si>
  <si>
    <t xml:space="preserve">A401</t>
  </si>
  <si>
    <t xml:space="preserve">Adidas Lightweight 1/4 Zip Pullover</t>
  </si>
  <si>
    <t xml:space="preserve">EXP54LWZ</t>
  </si>
  <si>
    <t xml:space="preserve">Lightweight Windbreaker Zip Jacket</t>
  </si>
  <si>
    <t xml:space="preserve">Fleece</t>
  </si>
  <si>
    <t xml:space="preserve">ST251</t>
  </si>
  <si>
    <t xml:space="preserve">Sport-Tek - Sport-Wick Fleece SS Hooded Pullover</t>
  </si>
  <si>
    <t xml:space="preserve">ST255</t>
  </si>
  <si>
    <t xml:space="preserve">Sport-Tek - Sport-Wick Fleece United Hoodie</t>
  </si>
  <si>
    <t xml:space="preserve">ST267</t>
  </si>
  <si>
    <t xml:space="preserve">SanMar - Raglan Colorblock Pullover Hooded Sweatshirt</t>
  </si>
  <si>
    <t xml:space="preserve">STF205</t>
  </si>
  <si>
    <t xml:space="preserve">Sport-Tek - ST Drive Colorblock Fleece</t>
  </si>
  <si>
    <t xml:space="preserve">DT6102</t>
  </si>
  <si>
    <t xml:space="preserve">District - V.I.T. Fleece Full-Zip Hoodie</t>
  </si>
  <si>
    <t xml:space="preserve">DT6107</t>
  </si>
  <si>
    <t xml:space="preserve">District - V.I.T. Fleece Jogger</t>
  </si>
  <si>
    <t xml:space="preserve">Port &amp; Co Essential Fleece Crewneck Sweatshirt</t>
  </si>
  <si>
    <t xml:space="preserve">Port &amp; Co Youth Core Fleece Crewneck Sweatshirt</t>
  </si>
  <si>
    <t xml:space="preserve">Port &amp; Co Essential Fleece Pullover Hooded Sweatshirt</t>
  </si>
  <si>
    <t xml:space="preserve">Port &amp; Co Women's Core Fleece Pullover Hooded Sweatshirt</t>
  </si>
  <si>
    <t xml:space="preserve">Port &amp; Co Youth Core Fleece Pullover Hooded Sweatshirt</t>
  </si>
  <si>
    <t xml:space="preserve">Port &amp; Co Core Fleece Jogger</t>
  </si>
  <si>
    <t xml:space="preserve">Port &amp; Co Youth Core Fleece Jogger</t>
  </si>
  <si>
    <t xml:space="preserve">Polos</t>
  </si>
  <si>
    <t xml:space="preserve">ST104</t>
  </si>
  <si>
    <t xml:space="preserve">Sport-Tek - Competitor United Polo</t>
  </si>
  <si>
    <t xml:space="preserve">ST741</t>
  </si>
  <si>
    <t xml:space="preserve">Sport-Tek - ST UV Micropique Polo</t>
  </si>
  <si>
    <t xml:space="preserve">A230</t>
  </si>
  <si>
    <t xml:space="preserve">Adidas Performance Polo</t>
  </si>
  <si>
    <t xml:space="preserve">Accessories</t>
  </si>
  <si>
    <t xml:space="preserve">STC64</t>
  </si>
  <si>
    <t xml:space="preserve">Sport-Tek - ST Pro-Cut Stretch-Tek Cap</t>
  </si>
  <si>
    <t xml:space="preserve">STC65</t>
  </si>
  <si>
    <t xml:space="preserve">Sport-Tek - ST Pro-Cut Adjustable Cap</t>
  </si>
  <si>
    <t xml:space="preserve">NE902</t>
  </si>
  <si>
    <t xml:space="preserve">New Era - Sideline Beanie</t>
  </si>
  <si>
    <t xml:space="preserve">NEB600</t>
  </si>
  <si>
    <t xml:space="preserve">New Era - Game Day Cinch</t>
  </si>
  <si>
    <t xml:space="preserve">BP78</t>
  </si>
  <si>
    <t xml:space="preserve">Port Authority - Core Fleece Sweatshirt Blanket</t>
  </si>
  <si>
    <t xml:space="preserve">• Spirit Wear catalog sourced from CMP Baseball Spirit Pack (2025 Pricing Matrix). All items available for any sport.</t>
  </si>
  <si>
    <t xml:space="preserve">• Same pricing formula and tiers as Team Items. Accessories use Left/Right Chest DTF placement (12.25 sq in).</t>
  </si>
  <si>
    <t xml:space="preserve">• Caps and beanies assume small logo DTF. Blankets use full chest placement.</t>
  </si>
  <si>
    <t xml:space="preserve">• Online Shop Price = 12-24 tier (lowest qty, highest margin). Assumes online customers buy minimum quantities.</t>
  </si>
  <si>
    <t xml:space="preserve">CMP PRICING MODEL — Full Formula Breakdown by Item</t>
  </si>
  <si>
    <t xml:space="preserve">Formula: (Blank × 2) + DTF Transfer + Labor = Base Cost  |  Sell Price = Base ÷ (1 − Margin%)  |  DTF at 25-49 qty ($0.055/sq in)</t>
  </si>
  <si>
    <t xml:space="preserve">×2
BUFFER</t>
  </si>
  <si>
    <t xml:space="preserve">PLACEMENT
(Sq In)</t>
  </si>
  <si>
    <t xml:space="preserve">DTF RATE
($/sq in)</t>
  </si>
  <si>
    <t xml:space="preserve">DTF
COST</t>
  </si>
  <si>
    <t xml:space="preserve">FORMULA
BASE</t>
  </si>
  <si>
    <t xml:space="preserve">@10%
MARGIN</t>
  </si>
  <si>
    <t xml:space="preserve">@20%
MARGIN</t>
  </si>
  <si>
    <t xml:space="preserve">@25%
MARGIN</t>
  </si>
  <si>
    <t xml:space="preserve">@30%
MARGIN</t>
  </si>
  <si>
    <t xml:space="preserve">@40%
MARGIN</t>
  </si>
  <si>
    <t xml:space="preserve">DTF Apparel — Tees, Fleece, Bottoms</t>
  </si>
  <si>
    <t xml:space="preserve">Spirit Wear — Tops</t>
  </si>
  <si>
    <t xml:space="preserve">Spirit Wear — Bottoms</t>
  </si>
  <si>
    <t xml:space="preserve">Spirit Wear — Jackets</t>
  </si>
  <si>
    <t xml:space="preserve">Spirit Wear — Fleece</t>
  </si>
  <si>
    <t xml:space="preserve">Spirit Wear — Polos</t>
  </si>
  <si>
    <t xml:space="preserve">Spirit Wear — Accessories</t>
  </si>
  <si>
    <t xml:space="preserve">• Blue text = hardcoded inputs (change to recalculate). Black text = formulas.</t>
  </si>
  <si>
    <t xml:space="preserve">• Formula Base = breakeven floor including 2× product replacement buffer. Never sell below this.</t>
  </si>
  <si>
    <t xml:space="preserve">• @10% = Aggressive promo minimum  |  @20% = Bundle pricing target  |  @25% = Standard bundle  |  @30% = Bulk individual  |  @40% = Online shop / low qty</t>
  </si>
  <si>
    <t xml:space="preserve">• DTF rate shown at 25-49 tier ($0.055/sq in). Change column G to model other tiers (1-24: $0.060, 50-99: $0.050, 100-249: $0.045, 250+: $0.040).</t>
  </si>
  <si>
    <t xml:space="preserve">• All prices rounded UP to nearest dollar using CEILING function.</t>
  </si>
  <si>
    <t xml:space="preserve">• Source: Stahls UCMAX per-image pricing, CMP account blank costs (SanMar + S&amp;S Activewear), ROQ Impress labor rate.</t>
  </si>
  <si>
    <t xml:space="preserve">DTF BUNDLE MARGIN ANALYSIS — Full Formula Breakdown</t>
  </si>
  <si>
    <t xml:space="preserve">Formula: (Blank × 2) + DTF Transfer + Labor  |  DTF at 25-49 qty tier ($0.055/sq in)  |  No tariff (domestic blanks)  |  No back numbers (XC uses bibs)</t>
  </si>
  <si>
    <t xml:space="preserve">SUBLIMATED BUNDLES (Ton Ton Manufacturing)</t>
  </si>
  <si>
    <t xml:space="preserve">BUNDLE</t>
  </si>
  <si>
    <t xml:space="preserve">TARIFF</t>
  </si>
  <si>
    <t xml:space="preserve">FULL COST</t>
  </si>
  <si>
    <t xml:space="preserve">GROSS PROFIT</t>
  </si>
  <si>
    <t xml:space="preserve">GROSS MARGIN</t>
  </si>
  <si>
    <t xml:space="preserve">—</t>
  </si>
  <si>
    <t xml:space="preserve">SUBLIMATED PROMO BUNDLES</t>
  </si>
  <si>
    <t xml:space="preserve">DTF BUNDLES — SanMar Sport-Tek Blanks</t>
  </si>
  <si>
    <t xml:space="preserve">FULL COGS</t>
  </si>
  <si>
    <t xml:space="preserve">GROSS
PROFIT</t>
  </si>
  <si>
    <t xml:space="preserve">GROSS
MARGIN</t>
  </si>
  <si>
    <t xml:space="preserve">MARGIN
OVER BASE</t>
  </si>
  <si>
    <t xml:space="preserve">DTF PROMO BUNDLES (SanMar)</t>
  </si>
  <si>
    <t xml:space="preserve">Early Bird DTF Race Kit</t>
  </si>
  <si>
    <t xml:space="preserve">DTF Spring Commit</t>
  </si>
  <si>
    <t xml:space="preserve">DTF Wingfoot Ready</t>
  </si>
  <si>
    <t xml:space="preserve">DTF BUNDLES — S&amp;S Alleson Blanks</t>
  </si>
  <si>
    <t xml:space="preserve">DTF PROMO BUNDLES (S&amp;S)</t>
  </si>
  <si>
    <t xml:space="preserve">• Blank costs use averaged Men's/Women's pricing for S&amp;S items with different gendered styles (8668/8967 singlets avg $9.23, 7272/7274 shorts avg $7.84).</t>
  </si>
  <si>
    <t xml:space="preserve">• DTF transfer costs at 25-49 qty tier ($0.055/sq in) — realistic for 1-2 XC teams per order. See DTF Cost Reference tab for all tiers.</t>
  </si>
  <si>
    <t xml:space="preserve">• Labor: $0.50 per DTF placement (ROQ Impress operation). Multi-item bundles = multiple labor charges.</t>
  </si>
  <si>
    <t xml:space="preserve">• "Margin Over Base" shows how far the bundle price is above the CMP formula floor. Anything below 10% is aggressive; 25-40% is the standard target.</t>
  </si>
  <si>
    <t xml:space="preserve">• S&amp;S bundle prices adjusted upward vs. previous version to meet CMP formula at 25-49 tier.</t>
  </si>
  <si>
    <t xml:space="preserve">• No tariff on domestic blanks. No back numbers for XC (NFHS allows race bibs).</t>
  </si>
  <si>
    <t xml:space="preserve">DTF COST REFERENCE — Stahls UltraColor MAX Transfer Pricing</t>
  </si>
  <si>
    <t xml:space="preserve">All decoration costs calculated from Stahls UCMAX per-image pricing. This is NOT gang sheet pricing.</t>
  </si>
  <si>
    <t xml:space="preserve">STAHLS UCMAX — Per Square Inch Pricing by Quantity</t>
  </si>
  <si>
    <t xml:space="preserve">QTY BREAK</t>
  </si>
  <si>
    <t xml:space="preserve">1–24 pcs</t>
  </si>
  <si>
    <t xml:space="preserve">25–49 pcs</t>
  </si>
  <si>
    <t xml:space="preserve">50–99 pcs</t>
  </si>
  <si>
    <t xml:space="preserve">100–249 pcs</t>
  </si>
  <si>
    <t xml:space="preserve">250+ pcs</t>
  </si>
  <si>
    <t xml:space="preserve">MIN PRICE</t>
  </si>
  <si>
    <t xml:space="preserve">Price per Sq. Inch</t>
  </si>
  <si>
    <t xml:space="preserve">$0.35/pc</t>
  </si>
  <si>
    <t xml:space="preserve">→ XC bundles will likely fall in the 25-49 tier (1 team ≈ 20-35 runners per design). Use 100-249 only if combining multiple teams on the same design.</t>
  </si>
  <si>
    <t xml:space="preserve">DTF TRANSFER COST BY PLACEMENT — All Quantity Tiers</t>
  </si>
  <si>
    <t xml:space="preserve">PLACEMENT</t>
  </si>
  <si>
    <t xml:space="preserve">WIDTH</t>
  </si>
  <si>
    <t xml:space="preserve">HEIGHT</t>
  </si>
  <si>
    <t xml:space="preserve">SQ INCHES</t>
  </si>
  <si>
    <t xml:space="preserve">Full Chest – Straight</t>
  </si>
  <si>
    <t xml:space="preserve">11.85"</t>
  </si>
  <si>
    <t xml:space="preserve">6.63"</t>
  </si>
  <si>
    <t xml:space="preserve">Full Chest – Arched</t>
  </si>
  <si>
    <t xml:space="preserve">11.5"</t>
  </si>
  <si>
    <t xml:space="preserve">8.8"</t>
  </si>
  <si>
    <t xml:space="preserve">Full Back – Straight</t>
  </si>
  <si>
    <t xml:space="preserve">14.0"</t>
  </si>
  <si>
    <t xml:space="preserve">Left/Right Chest</t>
  </si>
  <si>
    <t xml:space="preserve">3.5"</t>
  </si>
  <si>
    <t xml:space="preserve">Thigh – Left/Right</t>
  </si>
  <si>
    <t xml:space="preserve">Sleeve – Left/Right</t>
  </si>
  <si>
    <t xml:space="preserve">LABOR COST BREAKDOWN</t>
  </si>
  <si>
    <t xml:space="preserve">LABOR COMPONENT</t>
  </si>
  <si>
    <t xml:space="preserve">COST</t>
  </si>
  <si>
    <t xml:space="preserve">PER</t>
  </si>
  <si>
    <t xml:space="preserve">NOTES</t>
  </si>
  <si>
    <t xml:space="preserve">APPLIES TO</t>
  </si>
  <si>
    <t xml:space="preserve">ROQ Impress Operation</t>
  </si>
  <si>
    <t xml:space="preserve">$0.50</t>
  </si>
  <si>
    <t xml:space="preserve">Per placement</t>
  </si>
  <si>
    <t xml:space="preserve">Load garment → press → unload → fold</t>
  </si>
  <si>
    <t xml:space="preserve">Every DTF item</t>
  </si>
  <si>
    <t xml:space="preserve">Design Setup (1-time)</t>
  </si>
  <si>
    <t xml:space="preserve">$0.00</t>
  </si>
  <si>
    <t xml:space="preserve">Per order</t>
  </si>
  <si>
    <t xml:space="preserve">Amortized into design fee, not per-piece</t>
  </si>
  <si>
    <t xml:space="preserve">Charged separately</t>
  </si>
  <si>
    <t xml:space="preserve">Transfer Weeding</t>
  </si>
  <si>
    <t xml:space="preserve">N/A</t>
  </si>
  <si>
    <t xml:space="preserve">UCMAX transfers are pre-weeded by Stahls</t>
  </si>
  <si>
    <t xml:space="preserve">Included in transfer price</t>
  </si>
  <si>
    <t xml:space="preserve">Quality Check</t>
  </si>
  <si>
    <t xml:space="preserve">Per piece</t>
  </si>
  <si>
    <t xml:space="preserve">Built into press operation time</t>
  </si>
  <si>
    <t xml:space="preserve">Included in $0.50 labor</t>
  </si>
  <si>
    <t xml:space="preserve">ROQ Impress capacity: 400 transfers/hr (2 operators) or 260/hr (1 operator). At $0.50/placement, labor is well below the hourly cost of staff time.</t>
  </si>
  <si>
    <t xml:space="preserve">CMP PRICING FORMULA</t>
  </si>
  <si>
    <t xml:space="preserve">STEP</t>
  </si>
  <si>
    <t xml:space="preserve">CALCULATION</t>
  </si>
  <si>
    <t xml:space="preserve">WHY</t>
  </si>
  <si>
    <t xml:space="preserve">Step 1: Product Buffer</t>
  </si>
  <si>
    <t xml:space="preserve">Blank Cost × 2</t>
  </si>
  <si>
    <t xml:space="preserve">Ensures CMP can replace a defective garment without losing money on the order.</t>
  </si>
  <si>
    <t xml:space="preserve">Step 2: Add Decoration</t>
  </si>
  <si>
    <t xml:space="preserve">+ DTF Transfer Cost</t>
  </si>
  <si>
    <t xml:space="preserve">Stahls UCMAX per-image price at the applicable quantity tier (see table above).</t>
  </si>
  <si>
    <t xml:space="preserve">Step 3: Add Labor</t>
  </si>
  <si>
    <t xml:space="preserve">+ $0.50 per placement</t>
  </si>
  <si>
    <t xml:space="preserve">ROQ Impress press operation — load, press, unload, fold, QC.</t>
  </si>
  <si>
    <t xml:space="preserve">Step 4: Formula Base</t>
  </si>
  <si>
    <t xml:space="preserve">(Blank×2) + DTF + Labor</t>
  </si>
  <si>
    <t xml:space="preserve">This is the breakeven floor. Selling below this means a replacement costs you money.</t>
  </si>
  <si>
    <t xml:space="preserve">Step 5: Add Margin</t>
  </si>
  <si>
    <t xml:space="preserve">× 1.10 to 1.40</t>
  </si>
  <si>
    <t xml:space="preserve">10% minimum for promos/bundles. 25-40% for standard/individual pricing.</t>
  </si>
  <si>
    <t xml:space="preserve">EXAMPLE: SanMar Club Track Tank (ST446) at 25-49 qty tier</t>
  </si>
  <si>
    <t xml:space="preserve">COMPONENT</t>
  </si>
  <si>
    <t xml:space="preserve">AMOUNT</t>
  </si>
  <si>
    <t xml:space="preserve">Blank Cost</t>
  </si>
  <si>
    <t xml:space="preserve">$5.39</t>
  </si>
  <si>
    <t xml:space="preserve">SanMar CMP account pricing</t>
  </si>
  <si>
    <t xml:space="preserve">× 2 Product Buffer</t>
  </si>
  <si>
    <t xml:space="preserve">$10.78</t>
  </si>
  <si>
    <t xml:space="preserve">$5.39 × 2 — covers full replacement</t>
  </si>
  <si>
    <t xml:space="preserve">+ DTF Transfer (Full Chest)</t>
  </si>
  <si>
    <t xml:space="preserve">$4.32</t>
  </si>
  <si>
    <t xml:space="preserve">78.57 sq in × $0.055/sq in</t>
  </si>
  <si>
    <t xml:space="preserve">+ Labor (1 placement)</t>
  </si>
  <si>
    <t xml:space="preserve">ROQ Impress press operation</t>
  </si>
  <si>
    <t xml:space="preserve">FORMULA BASE</t>
  </si>
  <si>
    <t xml:space="preserve">$15.60</t>
  </si>
  <si>
    <t xml:space="preserve">Breakeven floor — never sell below this</t>
  </si>
  <si>
    <t xml:space="preserve">× 1.10 (10% margin)</t>
  </si>
  <si>
    <t xml:space="preserve">$17.16</t>
  </si>
  <si>
    <t xml:space="preserve">Absolute minimum for aggressive promos</t>
  </si>
  <si>
    <t xml:space="preserve">× 1.25 (25% margin)</t>
  </si>
  <si>
    <t xml:space="preserve">$19.50</t>
  </si>
  <si>
    <t xml:space="preserve">Target for standard bundles</t>
  </si>
  <si>
    <t xml:space="preserve">× 1.40 (40% margin)</t>
  </si>
  <si>
    <t xml:space="preserve">$21.84</t>
  </si>
  <si>
    <t xml:space="preserve">Target for individual/bulk pricing</t>
  </si>
  <si>
    <t xml:space="preserve">CURRENT BUNDLE PRICE</t>
  </si>
  <si>
    <t xml:space="preserve">$22.00</t>
  </si>
  <si>
    <t xml:space="preserve">→ 41% over formula base ✓</t>
  </si>
  <si>
    <t xml:space="preserve">BLANK COST COMPARISON — SanMar vs S&amp;S Activewear</t>
  </si>
  <si>
    <t xml:space="preserve">PRODUCT TYPE</t>
  </si>
  <si>
    <t xml:space="preserve">SANMAR STYLE</t>
  </si>
  <si>
    <t xml:space="preserve">SANMAR $</t>
  </si>
  <si>
    <t xml:space="preserve">S&amp;S STYLE</t>
  </si>
  <si>
    <t xml:space="preserve">S&amp;S $</t>
  </si>
  <si>
    <t xml:space="preserve">DIFFERENCE</t>
  </si>
  <si>
    <t xml:space="preserve">Track Tank (Men's)</t>
  </si>
  <si>
    <t xml:space="preserve">ST446</t>
  </si>
  <si>
    <t xml:space="preserve">8662 B-Core</t>
  </si>
  <si>
    <t xml:space="preserve">SanMar $1.22 cheaper</t>
  </si>
  <si>
    <t xml:space="preserve">Track Singlet (Men's)</t>
  </si>
  <si>
    <t xml:space="preserve">8668 Ventback</t>
  </si>
  <si>
    <t xml:space="preserve">No SanMar equiv.</t>
  </si>
  <si>
    <t xml:space="preserve">Track Singlet (Women's)</t>
  </si>
  <si>
    <t xml:space="preserve">8967 Stride</t>
  </si>
  <si>
    <t xml:space="preserve">Competitor Tank</t>
  </si>
  <si>
    <t xml:space="preserve">ST356</t>
  </si>
  <si>
    <t xml:space="preserve">SanMar only</t>
  </si>
  <si>
    <t xml:space="preserve">Reversible Tank</t>
  </si>
  <si>
    <t xml:space="preserve">SanMar only — 2-in-1</t>
  </si>
  <si>
    <t xml:space="preserve">Track Short (Men's)</t>
  </si>
  <si>
    <t xml:space="preserve">ST447 (4")</t>
  </si>
  <si>
    <t xml:space="preserve">7272 B-Core</t>
  </si>
  <si>
    <t xml:space="preserve">Within $0.05</t>
  </si>
  <si>
    <t xml:space="preserve">Track Short (Women's)</t>
  </si>
  <si>
    <t xml:space="preserve">LST447 (3")</t>
  </si>
  <si>
    <t xml:space="preserve">7274 Stride</t>
  </si>
  <si>
    <t xml:space="preserve">SanMar $3.84 cheaper</t>
  </si>
  <si>
    <t xml:space="preserve">SOURCES</t>
  </si>
  <si>
    <t xml:space="preserve">• DTF Transfer Pricing: Stahls UltraColor MAX, per-image pricing (stahls.com). Not gang sheet pricing.</t>
  </si>
  <si>
    <t xml:space="preserve">• SanMar Blanks: CMP account pricing via SanMar (sanmar.com). Sport-Tek Club Track + Competitor lines.</t>
  </si>
  <si>
    <t xml:space="preserve">• S&amp;S Blanks: CMP account pricing via Reese Robinson, S&amp;S Activewear (ssactivewear.com). Alleson Athletic line.</t>
  </si>
  <si>
    <t xml:space="preserve">• Labor: $0.50/placement based on ROQ Impress operation time (400 transfers/hr ÷ 2 operators).</t>
  </si>
  <si>
    <t xml:space="preserve">• No tariff applied to blank costs — both SanMar and S&amp;S are domestic distributors.</t>
  </si>
  <si>
    <t xml:space="preserve">• XC rules: No back numbers required per NFHS rules — runners receive race bibs at meets.</t>
  </si>
  <si>
    <t xml:space="preserve">COMPETITIVE PRICING COMPARISON — XC Race Kit (Singlet + Shorts)</t>
  </si>
  <si>
    <t xml:space="preserve">COMPETITOR</t>
  </si>
  <si>
    <t xml:space="preserve">BUDGET TIER</t>
  </si>
  <si>
    <t xml:space="preserve">MID TIER</t>
  </si>
  <si>
    <t xml:space="preserve">PREMIUM/CUSTOM</t>
  </si>
  <si>
    <t xml:space="preserve">A4 / Augusta</t>
  </si>
  <si>
    <t xml:space="preserve">$23 - $43</t>
  </si>
  <si>
    <t xml:space="preserve">Stock only, no sublimation</t>
  </si>
  <si>
    <t xml:space="preserve">Champro</t>
  </si>
  <si>
    <t xml:space="preserve">$55 - $75</t>
  </si>
  <si>
    <t xml:space="preserve">$90 (sublimated)</t>
  </si>
  <si>
    <t xml:space="preserve">Limited XC-specific items</t>
  </si>
  <si>
    <t xml:space="preserve">Norditalia / FTTF</t>
  </si>
  <si>
    <t xml:space="preserve">$60 - $75</t>
  </si>
  <si>
    <t xml:space="preserve">$80 (fitted sublimated)</t>
  </si>
  <si>
    <t xml:space="preserve">Custom sublimated from $24.99/singlet</t>
  </si>
  <si>
    <t xml:space="preserve">Adidas Team</t>
  </si>
  <si>
    <t xml:space="preserve">$51 - $70</t>
  </si>
  <si>
    <t xml:space="preserve">$80+</t>
  </si>
  <si>
    <t xml:space="preserve">Quote-only via dealers</t>
  </si>
  <si>
    <t xml:space="preserve">Nike Team</t>
  </si>
  <si>
    <t xml:space="preserve">$63 - $72 (stock)</t>
  </si>
  <si>
    <t xml:space="preserve">$90 - $140 (semi-custom)</t>
  </si>
  <si>
    <t xml:space="preserve">Quote-only, strong brand pull</t>
  </si>
  <si>
    <t xml:space="preserve">Under Armour Team</t>
  </si>
  <si>
    <t xml:space="preserve">$63 - $75</t>
  </si>
  <si>
    <t xml:space="preserve">$93+ (ArmourFuse)</t>
  </si>
  <si>
    <t xml:space="preserve">Primetime line is premium sublimated</t>
  </si>
  <si>
    <t xml:space="preserve">BSN Sports (multi-brand)</t>
  </si>
  <si>
    <t xml:space="preserve">$35 - $50</t>
  </si>
  <si>
    <t xml:space="preserve">$60 - $85</t>
  </si>
  <si>
    <t xml:space="preserve">$100+</t>
  </si>
  <si>
    <t xml:space="preserve">Carries all brands, rep-negotiated</t>
  </si>
  <si>
    <t xml:space="preserve">Boathouse Sports</t>
  </si>
  <si>
    <t xml:space="preserve">$80 - $120+</t>
  </si>
  <si>
    <t xml:space="preserve">Made in USA, 6-8 wk lead time</t>
  </si>
  <si>
    <t xml:space="preserve">Team Connection (4-pc)</t>
  </si>
  <si>
    <t xml:space="preserve">$150 - $170</t>
  </si>
  <si>
    <t xml:space="preserve">Quote only</t>
  </si>
  <si>
    <t xml:space="preserve">4-piece packages (race kit + warm-up)</t>
  </si>
  <si>
    <t xml:space="preserve">CMP — Race Kit Bundle</t>
  </si>
  <si>
    <t xml:space="preserve">$80</t>
  </si>
  <si>
    <t xml:space="preserve">Full custom sublimated, 28-day lead</t>
  </si>
  <si>
    <t xml:space="preserve">CMP — Early Bird Promo</t>
  </si>
  <si>
    <t xml:space="preserve">$75</t>
  </si>
  <si>
    <t xml:space="preserve">Promo pricing w/ free personalization</t>
  </si>
  <si>
    <t xml:space="preserve">CMP — Warm-Up Bundle (4-pc)</t>
  </si>
  <si>
    <t xml:space="preserve">$202</t>
  </si>
  <si>
    <t xml:space="preserve">Full sublimated Momentum warm-up + race kit</t>
  </si>
  <si>
    <t xml:space="preserve">CMP POSITIONING: Mid-market pricing ($90 race kit) with premium-quality full custom sublimation. Undercuts Nike/UA/Adidas sublimated by 30-40%. Competitive with Norditalia economy but delivers fitted, pro-series quality.</t>
  </si>
  <si>
    <t xml:space="preserve">CROSS COUNTRY EMAIL CAMPAIGNS — HubSpot</t>
  </si>
  <si>
    <t xml:space="preserve">6 Campaigns  |  2 Tracks (Nurture + Non-Opener)  |  Fall 2026</t>
  </si>
  <si>
    <t xml:space="preserve">CAMPAIGN</t>
  </si>
  <si>
    <t xml:space="preserve">SUBJECT LINE / CONTENT BRIEF</t>
  </si>
  <si>
    <t xml:space="preserve">TRACK</t>
  </si>
  <si>
    <t xml:space="preserve">SEND DATE</t>
  </si>
  <si>
    <t xml:space="preserve">STATUS</t>
  </si>
  <si>
    <t xml:space="preserve">May Promo — Nurture (4 emails)</t>
  </si>
  <si>
    <t xml:space="preserve">Email 1: Season Launch</t>
  </si>
  <si>
    <t xml:space="preserve">Subject: Your Cross Country Season Starts Here — Custom Uniforms in 28 Days
Preview: Full custom sublimated XC uniforms. Race-ready before your first meet.
CTA: View XC Bundles
Content: Introduce CMP XC line. Highlight Promo Early Bird Race Kit Bundle ($75). Emphasize 28-day turnaround + free mockups. Include team photo placeholder.</t>
  </si>
  <si>
    <t xml:space="preserve">Nurture Track</t>
  </si>
  <si>
    <t xml:space="preserve">May 9</t>
  </si>
  <si>
    <t xml:space="preserve">Pending</t>
  </si>
  <si>
    <t xml:space="preserve">Email 2: Early Bird Promo</t>
  </si>
  <si>
    <t xml:space="preserve">Subject: Early Bird Special — Race Kit for $75 + Free Personalization
Preview: Lock in your XC uniforms before June 8 and save.
CTA: Claim Early Bird Pricing
Content: Early Spring Commit promo ($75 vs $80 standard)Deadline: June 8. Limited to bulk orders (14+).</t>
  </si>
  <si>
    <t xml:space="preserve">Email 3: Bundle Showcase</t>
  </si>
  <si>
    <t xml:space="preserve">Subject: 10 Ways to Outfit Your XC Team — From Race Kit to Full Program
Preview: Bundles from $40/athlete to $351. Every budget covered.
CTA: Build Your Bundle
Content: Walk through all 10 standard bundles with pricing. Comparison table format</t>
  </si>
  <si>
    <t xml:space="preserve">Email 4: Social Proof &amp; Value</t>
  </si>
  <si>
    <t xml:space="preserve">Subject: Why Georgia XC Coaches Are Switching to Custom Sublimated
Preview: No more cracking, peeling, or fading. Unlimited colors. Made to order.
CTA: Request Free Mockup
Content: Sublimation benefits vs screen print for XC. Durability angle (3+ seasons). Breathability for distance runners.</t>
  </si>
  <si>
    <t xml:space="preserve">May Promo — Non-Openers (3 emails)</t>
  </si>
  <si>
    <t xml:space="preserve">Re-send 1</t>
  </si>
  <si>
    <t xml:space="preserve">Subject: [Shorter] XC Bundles Starting at $40/Athlete
Same content as Email 2, different subject line.</t>
  </si>
  <si>
    <t xml:space="preserve">Non-Opener Track</t>
  </si>
  <si>
    <t xml:space="preserve">Re-send 2</t>
  </si>
  <si>
    <t xml:space="preserve">Subject: [Shorter] Custom XC Uniforms — 28 Day Turnaround
Same content as Email 1, different subject line.</t>
  </si>
  <si>
    <t xml:space="preserve">Re-send 3</t>
  </si>
  <si>
    <t xml:space="preserve">Subject: [Shorter] $75 XC Race Kit — Ends June 8
Same content as Email 4, different subject line.</t>
  </si>
  <si>
    <t xml:space="preserve">May 29</t>
  </si>
  <si>
    <t xml:space="preserve">Jun Promo — Nurture (4 emails)</t>
  </si>
  <si>
    <t xml:space="preserve">Email 1: Ordering Window Open</t>
  </si>
  <si>
    <t xml:space="preserve">Subject: XC Ordering Window Is Open — Get Race-Ready for August
Preview: Order by July 8 to have uniforms in hand for first practice July 27.
CTA: Start Your Order
Content: Ordering window open. Timeline: order now → 28 days production → 5 days shipping → in hand before July 27 first practice.</t>
  </si>
  <si>
    <t xml:space="preserve">Jun 8</t>
  </si>
  <si>
    <t xml:space="preserve">Email 2: Wingfoot Prep</t>
  </si>
  <si>
    <t xml:space="preserve">Subject: Wingfoot XC Classic Is Coming — Is Your Team Ready?
Preview: Georgia's biggest XC invitational. Show up in custom gear.
CTA: Design Your Uniform
Content: Reference Wingfoot XC Classic (~Sep 20). Biggest GA invitational. Teams need matching race kits (NFHS rule). Spring Commit Bundle ($113).</t>
  </si>
  <si>
    <t xml:space="preserve">Jun 15</t>
  </si>
  <si>
    <t xml:space="preserve">Email 3: Bundle Comparison</t>
  </si>
  <si>
    <t xml:space="preserve">Subject: Race Kit vs. Full Program — Which XC Bundle Fits Your Budget?
Preview: Side-by-side: $80 Race Kit vs. $202 Warm-Up vs. $323 Full Program.
CTA: Compare Bundles
Content: Decision-helper email. 3-column comparison. Good/Better/Best format.</t>
  </si>
  <si>
    <t xml:space="preserve">Jun 22</t>
  </si>
  <si>
    <t xml:space="preserve">Email 4: Club/AAU Angle</t>
  </si>
  <si>
    <t xml:space="preserve">Subject: Running Club? AAU? USATF? We Outfit Them All.
Preview: Same custom sublimated quality for club and school programs.
CTA: Get a Quote
Content: Expand beyond HS. Club programs, AAU, USATF JO. Same 14-bundle minimum. Same pricing. Mention Atlanta Track Club, Coweta Comets.</t>
  </si>
  <si>
    <t xml:space="preserve">Jun 29</t>
  </si>
  <si>
    <t xml:space="preserve">Jun Promo — Non-Openers (3 emails)</t>
  </si>
  <si>
    <t xml:space="preserve">Subject: [Shorter] Order XC Uniforms Now — Ships in 28 Days
Same content as Jun Email 1, different subject line.</t>
  </si>
  <si>
    <t xml:space="preserve">Jun 11</t>
  </si>
  <si>
    <t xml:space="preserve">Subject: [Shorter] Ready for Wingfoot? Custom XC Race Kits
Same content as Jun Email 2, different subject line.</t>
  </si>
  <si>
    <t xml:space="preserve">Jun 18</t>
  </si>
  <si>
    <t xml:space="preserve">Subject: [Shorter] Club XC? Custom Uniforms from $80
Same content as Jun Email 4, different subject line.</t>
  </si>
  <si>
    <t xml:space="preserve">Jul 1</t>
  </si>
  <si>
    <t xml:space="preserve">Jul Deadline — Nurture (4 emails)</t>
  </si>
  <si>
    <t xml:space="preserve">Email 1: 1 Week Warning</t>
  </si>
  <si>
    <t xml:space="preserve">Subject: 7 Days Left — XC Order Deadline July 8
Preview: Place your order this week to guarantee delivery before first practice.
CTA: Order Now
Content: Urgency. July 8 deadline. After this date, rush surcharges apply. First practice July 27. First contest August 10.</t>
  </si>
  <si>
    <t xml:space="preserve">Email 2: Deadline Bundle</t>
  </si>
  <si>
    <t xml:space="preserve">Subject: Last Chance — Wingfoot Ready Bundle: $125 (Ends July 8)
Preview: Race kit + warm-up jacket. Everything your team needs for the season.
CTA: Lock In Your Bundle
Content: Push Wingfoot Ready Bundle promo ($125). Deadline July 8. Last chance for promo pricing.</t>
  </si>
  <si>
    <t xml:space="preserve">Jul 4</t>
  </si>
  <si>
    <t xml:space="preserve">Email 3: Final Call</t>
  </si>
  <si>
    <t xml:space="preserve">Subject: FINAL CALL — XC Orders Close Tomorrow
Preview: This is it. Order by midnight July 8 or add rush fees.
CTA: Place Your Order
Content: Final urgency email. Tomorrow is the deadline. Summary of all bundle options. Direct link to order form.</t>
  </si>
  <si>
    <t xml:space="preserve">Jul 7</t>
  </si>
  <si>
    <t xml:space="preserve">Email 4: Post-Deadline Grace</t>
  </si>
  <si>
    <t xml:space="preserve">Subject: Missed the Deadline? We Can Still Help — Rush Orders Available
Preview: Rush processing available for late orders. Contact us today.
CTA: Contact Us for Rush Pricing
Content: Empathetic tone. Rush option available at 20% premium. Still time before Aug 10 first contest.</t>
  </si>
  <si>
    <t xml:space="preserve">Jul 10</t>
  </si>
  <si>
    <t xml:space="preserve">Jul Deadline — Non-Openers (3 emails)</t>
  </si>
  <si>
    <t xml:space="preserve">Subject: [Shorter] XC Deadline: July 8 — Order This Week
Same content as Jul Email 1, different subject line.</t>
  </si>
  <si>
    <t xml:space="preserve">Jul 3</t>
  </si>
  <si>
    <t xml:space="preserve">Subject: [Shorter] $125 XC Bundle — Deadline July 8
Same content as Jul Email 2, different subject line.</t>
  </si>
  <si>
    <t xml:space="preserve">Jul 5</t>
  </si>
  <si>
    <t xml:space="preserve">Subject: [Shorter] Tomorrow — Last Day for XC Orders
Same content as Jul Email 3, different subject line.</t>
  </si>
  <si>
    <t xml:space="preserve">Jul 8</t>
  </si>
  <si>
    <t xml:space="preserve">FALL 2026 XC SEASON &amp; CAMPAIGN TIMELINE</t>
  </si>
  <si>
    <t xml:space="preserve">DATE</t>
  </si>
  <si>
    <t xml:space="preserve">GHSA HS XC</t>
  </si>
  <si>
    <t xml:space="preserve">CLUB / AAU / USATF</t>
  </si>
  <si>
    <t xml:space="preserve">CMP CAMPAIGN ACTION</t>
  </si>
  <si>
    <t xml:space="preserve">Apr 27</t>
  </si>
  <si>
    <t xml:space="preserve">Marketing Launch: XC campaign go-live</t>
  </si>
  <si>
    <t xml:space="preserve">Registration opens (ATC May)</t>
  </si>
  <si>
    <t xml:space="preserve">Sales Outreach: Email Campaign 1 (Nurture)</t>
  </si>
  <si>
    <t xml:space="preserve">Ordering Window Opens + Promo bundles active</t>
  </si>
  <si>
    <t xml:space="preserve">Jul 1-8</t>
  </si>
  <si>
    <t xml:space="preserve">Deadline Push: Email blast + retargeting</t>
  </si>
  <si>
    <t xml:space="preserve">ORDER DEADLINE</t>
  </si>
  <si>
    <t xml:space="preserve">Jul 27-28</t>
  </si>
  <si>
    <t xml:space="preserve">First practice (GHSA)</t>
  </si>
  <si>
    <t xml:space="preserve">First practice (MS public/private)</t>
  </si>
  <si>
    <t xml:space="preserve">Aug 10</t>
  </si>
  <si>
    <t xml:space="preserve">First contest (GHSA)</t>
  </si>
  <si>
    <t xml:space="preserve">ATC full season starts</t>
  </si>
  <si>
    <t xml:space="preserve">Aug 22</t>
  </si>
  <si>
    <t xml:space="preserve">Strong Rock Invitational</t>
  </si>
  <si>
    <t xml:space="preserve">Strong Rock (youth/MS)</t>
  </si>
  <si>
    <t xml:space="preserve">Sep 6-13</t>
  </si>
  <si>
    <t xml:space="preserve">Invitational season</t>
  </si>
  <si>
    <t xml:space="preserve">Konos Flyover Series (Fayetteville)</t>
  </si>
  <si>
    <t xml:space="preserve">Sep 20</t>
  </si>
  <si>
    <t xml:space="preserve">Wingfoot XC Classic</t>
  </si>
  <si>
    <t xml:space="preserve">Wingfoot XC Classic (youth + HS)</t>
  </si>
  <si>
    <t xml:space="preserve">Oct 5</t>
  </si>
  <si>
    <t xml:space="preserve">Region meets begin</t>
  </si>
  <si>
    <t xml:space="preserve">ATC Postseason-Only registration opens</t>
  </si>
  <si>
    <t xml:space="preserve">Potential Oct upsell: Postseason bundle</t>
  </si>
  <si>
    <t xml:space="preserve">Oct 10-20</t>
  </si>
  <si>
    <t xml:space="preserve">GA MS State Championship</t>
  </si>
  <si>
    <t xml:space="preserve">Nov 7-8</t>
  </si>
  <si>
    <t xml:space="preserve">GHSA State Championship</t>
  </si>
  <si>
    <t xml:space="preserve">USATF Dev Series #4 (Fayetteville)</t>
  </si>
  <si>
    <t xml:space="preserve">Nov 15-22</t>
  </si>
  <si>
    <t xml:space="preserve">Season ends</t>
  </si>
  <si>
    <t xml:space="preserve">USATF GA Assoc JO + Region 4 + AAU District</t>
  </si>
  <si>
    <t xml:space="preserve">Potential: Championship travel gear</t>
  </si>
  <si>
    <t xml:space="preserve">Dec 6-13</t>
  </si>
  <si>
    <t xml:space="preserve">AAU Nationals + USATF Nationals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</si>
</sst>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"/>
    <numFmt numFmtId="166" formatCode="\$#,##0"/>
    <numFmt numFmtId="167" formatCode="0.0%"/>
    <numFmt numFmtId="168" formatCode="&quot;Profit: $&quot;#,##0.00"/>
    <numFmt numFmtId="169" formatCode="0.00"/>
    <numFmt numFmtId="170" formatCode="\$#,##0.000"/>
    <numFmt numFmtId="171" formatCode="\$#,##0.00;&quot;($&quot;#,##0.00\);\-"/>
    <numFmt numFmtId="172" formatCode="mmmm\ d"/>
  </numFmts>
  <fonts count="3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Calibri"/>
      <family val="0"/>
      <charset val="1"/>
    </font>
    <font>
      <i val="true"/>
      <sz val="10"/>
      <color rgb="FF7A797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01696F"/>
      <name val="Calibri"/>
      <family val="0"/>
      <charset val="1"/>
    </font>
    <font>
      <sz val="10"/>
      <color rgb="FF7A7974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11"/>
      <color rgb="FF437A22"/>
      <name val="Calibri"/>
      <family val="0"/>
      <charset val="1"/>
    </font>
    <font>
      <b val="true"/>
      <sz val="10"/>
      <color rgb="FFA13544"/>
      <name val="Calibri"/>
      <family val="0"/>
      <charset val="1"/>
    </font>
    <font>
      <b val="true"/>
      <sz val="10"/>
      <color rgb="FFD4A017"/>
      <name val="Calibri"/>
      <family val="0"/>
      <charset val="1"/>
    </font>
    <font>
      <b val="true"/>
      <sz val="9"/>
      <color rgb="FF666666"/>
      <name val="Calibri"/>
      <family val="0"/>
      <charset val="1"/>
    </font>
    <font>
      <b val="true"/>
      <sz val="10"/>
      <color rgb="FF333333"/>
      <name val="Calibri"/>
      <family val="0"/>
      <charset val="1"/>
    </font>
    <font>
      <sz val="9"/>
      <color rgb="FF666666"/>
      <name val="Calibri"/>
      <family val="0"/>
      <charset val="1"/>
    </font>
    <font>
      <b val="true"/>
      <sz val="14"/>
      <color rgb="FF1C1C1C"/>
      <name val="Calibri"/>
      <family val="0"/>
      <charset val="1"/>
    </font>
    <font>
      <sz val="10"/>
      <color rgb="FF666666"/>
      <name val="Calibri"/>
      <family val="0"/>
      <charset val="1"/>
    </font>
    <font>
      <i val="true"/>
      <sz val="9"/>
      <color rgb="FFC65102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10"/>
      <color rgb="FF333333"/>
      <name val="Calibri"/>
      <family val="0"/>
      <charset val="1"/>
    </font>
    <font>
      <sz val="10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rgb="FF1C1C1C"/>
      <name val="Calibri"/>
      <family val="0"/>
      <charset val="1"/>
    </font>
    <font>
      <b val="true"/>
      <sz val="11"/>
      <color rgb="FF1C1C1C"/>
      <name val="Calibri"/>
      <family val="0"/>
      <charset val="1"/>
    </font>
    <font>
      <b val="true"/>
      <sz val="12"/>
      <color rgb="FF1C1C1C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999999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0"/>
      <color rgb="FFC65102"/>
      <name val="Calibri"/>
      <family val="0"/>
      <charset val="1"/>
    </font>
    <font>
      <sz val="10"/>
      <color rgb="FF006400"/>
      <name val="Calibri"/>
      <family val="0"/>
      <charset val="1"/>
    </font>
    <font>
      <sz val="10"/>
      <color rgb="FFCC0000"/>
      <name val="Calibri"/>
      <family val="0"/>
      <charset val="1"/>
    </font>
    <font>
      <b val="true"/>
      <sz val="10"/>
      <color rgb="FF999999"/>
      <name val="Calibri"/>
      <family val="0"/>
      <charset val="1"/>
    </font>
    <font>
      <b val="true"/>
      <sz val="11"/>
      <color theme="1"/>
      <name val="Calibri"/>
      <family val="0"/>
      <charset val="1"/>
    </font>
    <font>
      <i val="true"/>
      <sz val="10"/>
      <color rgb="FF1B2A4A"/>
      <name val="Calibri"/>
      <family val="0"/>
      <charset val="1"/>
    </font>
    <font>
      <sz val="9"/>
      <color theme="1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2D2D2D"/>
      </patternFill>
    </fill>
    <fill>
      <patternFill patternType="solid">
        <fgColor rgb="FFE8F4F5"/>
        <bgColor rgb="FFF2F2F2"/>
      </patternFill>
    </fill>
    <fill>
      <patternFill patternType="solid">
        <fgColor rgb="FFD4EDDA"/>
        <bgColor rgb="FFDDDDDD"/>
      </patternFill>
    </fill>
    <fill>
      <patternFill patternType="solid">
        <fgColor rgb="FFD4A017"/>
        <bgColor rgb="FFFFC107"/>
      </patternFill>
    </fill>
    <fill>
      <patternFill patternType="solid">
        <fgColor rgb="FFFFF3CD"/>
        <bgColor rgb="FFF2F2F2"/>
      </patternFill>
    </fill>
    <fill>
      <patternFill patternType="solid">
        <fgColor rgb="FF1C1C1C"/>
        <bgColor rgb="FF2D2D2D"/>
      </patternFill>
    </fill>
    <fill>
      <patternFill patternType="solid">
        <fgColor rgb="FF2D2D2D"/>
        <bgColor rgb="FF333333"/>
      </patternFill>
    </fill>
    <fill>
      <patternFill patternType="solid">
        <fgColor rgb="FFF2F2F2"/>
        <bgColor rgb="FFF5F5F5"/>
      </patternFill>
    </fill>
    <fill>
      <patternFill patternType="solid">
        <fgColor rgb="FFC65102"/>
        <bgColor rgb="FFDC3545"/>
      </patternFill>
    </fill>
    <fill>
      <patternFill patternType="solid">
        <fgColor rgb="FF3A3A3A"/>
        <bgColor rgb="FF333333"/>
      </patternFill>
    </fill>
    <fill>
      <patternFill patternType="solid">
        <fgColor rgb="FFF5F5F5"/>
        <bgColor rgb="FFF2F2F2"/>
      </patternFill>
    </fill>
    <fill>
      <patternFill patternType="solid">
        <fgColor rgb="FFF8D7DA"/>
        <bgColor rgb="FFDDDDDD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/>
      <right/>
      <top/>
      <bottom style="medium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2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1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1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1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5" fillId="1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437A22"/>
      <rgbColor rgb="FF800080"/>
      <rgbColor rgb="FF01696F"/>
      <rgbColor rgb="FFC0C0C0"/>
      <rgbColor rgb="FF7A7974"/>
      <rgbColor rgb="FF9999FF"/>
      <rgbColor rgb="FFA13544"/>
      <rgbColor rgb="FFFFF3CD"/>
      <rgbColor rgb="FFE8F4F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DDA"/>
      <rgbColor rgb="FFF5F5F5"/>
      <rgbColor rgb="FF99CCFF"/>
      <rgbColor rgb="FFFF99CC"/>
      <rgbColor rgb="FFCC99FF"/>
      <rgbColor rgb="FFF8D7DA"/>
      <rgbColor rgb="FF666666"/>
      <rgbColor rgb="FF33CCCC"/>
      <rgbColor rgb="FF99CC00"/>
      <rgbColor rgb="FFFFC107"/>
      <rgbColor rgb="FFD4A017"/>
      <rgbColor rgb="FFFF6600"/>
      <rgbColor rgb="FF6C757D"/>
      <rgbColor rgb="FF999999"/>
      <rgbColor rgb="FF1B2A4A"/>
      <rgbColor rgb="FF17A2B8"/>
      <rgbColor rgb="FF1C1C1C"/>
      <rgbColor rgb="FF2D2D2D"/>
      <rgbColor rgb="FFC65102"/>
      <rgbColor rgb="FFDC3545"/>
      <rgbColor rgb="FF3A3A3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1696F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34.14"/>
    <col collapsed="false" customWidth="true" hidden="false" outlineLevel="0" max="4" min="4" style="0" width="15"/>
    <col collapsed="false" customWidth="true" hidden="true" outlineLevel="0" max="5" min="5" style="0" width="18"/>
    <col collapsed="false" customWidth="true" hidden="true" outlineLevel="0" max="6" min="6" style="0" width="1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7.25" hidden="false" customHeight="true" outlineLevel="0" collapsed="false">
      <c r="A2" s="1"/>
      <c r="B2" s="2" t="s">
        <v>0</v>
      </c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1"/>
      <c r="B3" s="3" t="s">
        <v>1</v>
      </c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"/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"/>
      <c r="B7" s="5" t="s">
        <v>7</v>
      </c>
      <c r="C7" s="6"/>
      <c r="D7" s="6"/>
      <c r="E7" s="6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"/>
      <c r="B8" s="1" t="s">
        <v>8</v>
      </c>
      <c r="C8" s="7" t="s">
        <v>9</v>
      </c>
      <c r="D8" s="8" t="n">
        <v>40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"/>
      <c r="B9" s="1" t="s">
        <v>10</v>
      </c>
      <c r="C9" s="7" t="s">
        <v>9</v>
      </c>
      <c r="D9" s="8" t="n">
        <v>40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"/>
      <c r="B10" s="9" t="s">
        <v>11</v>
      </c>
      <c r="C10" s="10" t="s">
        <v>12</v>
      </c>
      <c r="D10" s="11" t="n">
        <v>80</v>
      </c>
      <c r="E10" s="12"/>
      <c r="F10" s="1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"/>
      <c r="B12" s="5" t="s">
        <v>13</v>
      </c>
      <c r="C12" s="6"/>
      <c r="D12" s="6"/>
      <c r="E12" s="6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"/>
      <c r="B13" s="1" t="s">
        <v>8</v>
      </c>
      <c r="C13" s="7" t="s">
        <v>9</v>
      </c>
      <c r="D13" s="8" t="n">
        <v>40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"/>
      <c r="B14" s="1" t="s">
        <v>10</v>
      </c>
      <c r="C14" s="7" t="s">
        <v>9</v>
      </c>
      <c r="D14" s="8" t="n">
        <v>40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"/>
      <c r="B15" s="1" t="s">
        <v>14</v>
      </c>
      <c r="C15" s="7" t="s">
        <v>15</v>
      </c>
      <c r="D15" s="8" t="n">
        <v>12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"/>
      <c r="B16" s="9" t="s">
        <v>11</v>
      </c>
      <c r="C16" s="10" t="s">
        <v>12</v>
      </c>
      <c r="D16" s="11" t="n">
        <v>92</v>
      </c>
      <c r="E16" s="12"/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"/>
      <c r="B18" s="5" t="s">
        <v>16</v>
      </c>
      <c r="C18" s="6"/>
      <c r="D18" s="6"/>
      <c r="E18" s="6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"/>
      <c r="B19" s="1" t="s">
        <v>14</v>
      </c>
      <c r="C19" s="7" t="s">
        <v>15</v>
      </c>
      <c r="D19" s="8" t="n">
        <v>12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"/>
      <c r="B20" s="1" t="s">
        <v>14</v>
      </c>
      <c r="C20" s="7" t="s">
        <v>15</v>
      </c>
      <c r="D20" s="8" t="n">
        <v>12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1"/>
      <c r="B21" s="1" t="s">
        <v>17</v>
      </c>
      <c r="C21" s="7" t="s">
        <v>18</v>
      </c>
      <c r="D21" s="8" t="n">
        <v>16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1"/>
      <c r="B22" s="9" t="s">
        <v>11</v>
      </c>
      <c r="C22" s="10" t="s">
        <v>12</v>
      </c>
      <c r="D22" s="11" t="n">
        <v>40</v>
      </c>
      <c r="E22" s="12"/>
      <c r="F22" s="1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1"/>
      <c r="B24" s="5" t="s">
        <v>19</v>
      </c>
      <c r="C24" s="6"/>
      <c r="D24" s="6"/>
      <c r="E24" s="6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A25" s="1"/>
      <c r="B25" s="1" t="s">
        <v>14</v>
      </c>
      <c r="C25" s="7" t="s">
        <v>20</v>
      </c>
      <c r="D25" s="8" t="n">
        <v>12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A26" s="1"/>
      <c r="B26" s="1" t="s">
        <v>21</v>
      </c>
      <c r="C26" s="7" t="s">
        <v>20</v>
      </c>
      <c r="D26" s="8" t="n">
        <v>16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A27" s="1"/>
      <c r="B27" s="1" t="s">
        <v>22</v>
      </c>
      <c r="C27" s="7" t="s">
        <v>23</v>
      </c>
      <c r="D27" s="8" t="n">
        <v>30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1"/>
      <c r="B28" s="1" t="s">
        <v>24</v>
      </c>
      <c r="C28" s="7" t="s">
        <v>25</v>
      </c>
      <c r="D28" s="8" t="n">
        <v>30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true" outlineLevel="0" collapsed="false">
      <c r="A29" s="1"/>
      <c r="B29" s="9" t="s">
        <v>11</v>
      </c>
      <c r="C29" s="10" t="s">
        <v>12</v>
      </c>
      <c r="D29" s="11" t="n">
        <v>88</v>
      </c>
      <c r="E29" s="12"/>
      <c r="F29" s="1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true" outlineLevel="0" collapsed="false">
      <c r="A31" s="1"/>
      <c r="B31" s="5" t="s">
        <v>26</v>
      </c>
      <c r="C31" s="6"/>
      <c r="D31" s="6"/>
      <c r="E31" s="6"/>
      <c r="F31" s="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true" outlineLevel="0" collapsed="false">
      <c r="A32" s="1"/>
      <c r="B32" s="1" t="s">
        <v>8</v>
      </c>
      <c r="C32" s="7" t="s">
        <v>9</v>
      </c>
      <c r="D32" s="8" t="n">
        <v>40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true" outlineLevel="0" collapsed="false">
      <c r="A33" s="1"/>
      <c r="B33" s="1" t="s">
        <v>10</v>
      </c>
      <c r="C33" s="7" t="s">
        <v>9</v>
      </c>
      <c r="D33" s="8" t="n">
        <v>40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" hidden="false" customHeight="true" outlineLevel="0" collapsed="false">
      <c r="A34" s="1"/>
      <c r="B34" s="1" t="s">
        <v>27</v>
      </c>
      <c r="C34" s="7" t="s">
        <v>9</v>
      </c>
      <c r="D34" s="8" t="n">
        <v>55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true" outlineLevel="0" collapsed="false">
      <c r="A35" s="1"/>
      <c r="B35" s="1" t="s">
        <v>28</v>
      </c>
      <c r="C35" s="7" t="s">
        <v>9</v>
      </c>
      <c r="D35" s="8" t="n">
        <v>65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true" outlineLevel="0" collapsed="false">
      <c r="A36" s="1"/>
      <c r="B36" s="9" t="s">
        <v>11</v>
      </c>
      <c r="C36" s="10" t="s">
        <v>12</v>
      </c>
      <c r="D36" s="11" t="n">
        <v>202</v>
      </c>
      <c r="E36" s="12"/>
      <c r="F36" s="1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true" outlineLevel="0" collapsed="false">
      <c r="A38" s="1"/>
      <c r="B38" s="5" t="s">
        <v>29</v>
      </c>
      <c r="C38" s="6"/>
      <c r="D38" s="6"/>
      <c r="E38" s="6"/>
      <c r="F38" s="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true" outlineLevel="0" collapsed="false">
      <c r="A39" s="1"/>
      <c r="B39" s="1" t="s">
        <v>8</v>
      </c>
      <c r="C39" s="7" t="s">
        <v>9</v>
      </c>
      <c r="D39" s="8" t="n">
        <v>40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true" outlineLevel="0" collapsed="false">
      <c r="A40" s="1"/>
      <c r="B40" s="1" t="s">
        <v>10</v>
      </c>
      <c r="C40" s="7" t="s">
        <v>9</v>
      </c>
      <c r="D40" s="8" t="n">
        <v>40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true" outlineLevel="0" collapsed="false">
      <c r="A41" s="1"/>
      <c r="B41" s="1" t="s">
        <v>30</v>
      </c>
      <c r="C41" s="7" t="s">
        <v>9</v>
      </c>
      <c r="D41" s="8" t="n">
        <v>40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true" outlineLevel="0" collapsed="false">
      <c r="A42" s="1"/>
      <c r="B42" s="1" t="s">
        <v>27</v>
      </c>
      <c r="C42" s="7" t="s">
        <v>9</v>
      </c>
      <c r="D42" s="8" t="n">
        <v>55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" hidden="false" customHeight="true" outlineLevel="0" collapsed="false">
      <c r="A43" s="1"/>
      <c r="B43" s="9" t="s">
        <v>11</v>
      </c>
      <c r="C43" s="10" t="s">
        <v>12</v>
      </c>
      <c r="D43" s="11" t="n">
        <v>175</v>
      </c>
      <c r="E43" s="12"/>
      <c r="F43" s="1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" hidden="false" customHeight="true" outlineLevel="0" collapsed="false">
      <c r="A45" s="1"/>
      <c r="B45" s="5" t="s">
        <v>31</v>
      </c>
      <c r="C45" s="6"/>
      <c r="D45" s="6"/>
      <c r="E45" s="6"/>
      <c r="F45" s="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" hidden="false" customHeight="true" outlineLevel="0" collapsed="false">
      <c r="A46" s="1"/>
      <c r="B46" s="1" t="s">
        <v>8</v>
      </c>
      <c r="C46" s="7" t="s">
        <v>9</v>
      </c>
      <c r="D46" s="8" t="n">
        <v>40</v>
      </c>
      <c r="E46" s="7" t="s">
        <v>28</v>
      </c>
      <c r="F46" s="8" t="n">
        <v>67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" hidden="false" customHeight="true" outlineLevel="0" collapsed="false">
      <c r="A47" s="1"/>
      <c r="B47" s="1" t="s">
        <v>10</v>
      </c>
      <c r="C47" s="7" t="s">
        <v>9</v>
      </c>
      <c r="D47" s="8" t="n">
        <v>40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true" outlineLevel="0" collapsed="false">
      <c r="A48" s="1"/>
      <c r="B48" s="1" t="s">
        <v>30</v>
      </c>
      <c r="C48" s="7" t="s">
        <v>9</v>
      </c>
      <c r="D48" s="8" t="n">
        <v>40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true" outlineLevel="0" collapsed="false">
      <c r="A49" s="1"/>
      <c r="B49" s="1" t="s">
        <v>17</v>
      </c>
      <c r="C49" s="7" t="s">
        <v>18</v>
      </c>
      <c r="D49" s="8" t="n">
        <v>16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" hidden="false" customHeight="true" outlineLevel="0" collapsed="false">
      <c r="A50" s="1"/>
      <c r="B50" s="1" t="s">
        <v>27</v>
      </c>
      <c r="C50" s="7" t="s">
        <v>9</v>
      </c>
      <c r="D50" s="8" t="n">
        <v>55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true" outlineLevel="0" collapsed="false">
      <c r="A51" s="1"/>
      <c r="B51" s="9" t="s">
        <v>11</v>
      </c>
      <c r="C51" s="10" t="s">
        <v>12</v>
      </c>
      <c r="D51" s="11" t="n">
        <v>191</v>
      </c>
      <c r="E51" s="12"/>
      <c r="F51" s="1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true" outlineLevel="0" collapsed="false">
      <c r="A53" s="1"/>
      <c r="B53" s="5" t="s">
        <v>32</v>
      </c>
      <c r="C53" s="6"/>
      <c r="D53" s="6"/>
      <c r="E53" s="6"/>
      <c r="F53" s="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true" outlineLevel="0" collapsed="false">
      <c r="A54" s="1"/>
      <c r="B54" s="1" t="s">
        <v>8</v>
      </c>
      <c r="C54" s="7" t="s">
        <v>9</v>
      </c>
      <c r="D54" s="8" t="n">
        <v>40</v>
      </c>
      <c r="E54" s="7" t="s">
        <v>33</v>
      </c>
      <c r="F54" s="8" t="n">
        <v>75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" hidden="false" customHeight="true" outlineLevel="0" collapsed="false">
      <c r="A55" s="1"/>
      <c r="B55" s="1" t="s">
        <v>10</v>
      </c>
      <c r="C55" s="7" t="s">
        <v>9</v>
      </c>
      <c r="D55" s="8" t="n">
        <v>40</v>
      </c>
      <c r="E55" s="7" t="s">
        <v>34</v>
      </c>
      <c r="F55" s="8" t="n">
        <v>85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true" outlineLevel="0" collapsed="false">
      <c r="A56" s="1"/>
      <c r="B56" s="1" t="s">
        <v>30</v>
      </c>
      <c r="C56" s="7" t="s">
        <v>9</v>
      </c>
      <c r="D56" s="8" t="n">
        <v>40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true" outlineLevel="0" collapsed="false">
      <c r="A57" s="1"/>
      <c r="B57" s="1" t="s">
        <v>27</v>
      </c>
      <c r="C57" s="7" t="s">
        <v>9</v>
      </c>
      <c r="D57" s="8" t="n">
        <v>55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true" outlineLevel="0" collapsed="false">
      <c r="A58" s="1"/>
      <c r="B58" s="1" t="s">
        <v>28</v>
      </c>
      <c r="C58" s="7" t="s">
        <v>9</v>
      </c>
      <c r="D58" s="8" t="n">
        <v>67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true" outlineLevel="0" collapsed="false">
      <c r="A59" s="1"/>
      <c r="B59" s="9" t="s">
        <v>11</v>
      </c>
      <c r="C59" s="10" t="s">
        <v>12</v>
      </c>
      <c r="D59" s="11" t="n">
        <v>242</v>
      </c>
      <c r="E59" s="12"/>
      <c r="F59" s="1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true" outlineLevel="0" collapsed="false">
      <c r="A61" s="1"/>
      <c r="B61" s="5" t="s">
        <v>35</v>
      </c>
      <c r="C61" s="6"/>
      <c r="D61" s="6"/>
      <c r="E61" s="6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true" outlineLevel="0" collapsed="false">
      <c r="A62" s="1"/>
      <c r="B62" s="1" t="s">
        <v>8</v>
      </c>
      <c r="C62" s="7" t="s">
        <v>9</v>
      </c>
      <c r="D62" s="8" t="n">
        <v>40</v>
      </c>
      <c r="E62" s="7" t="s">
        <v>36</v>
      </c>
      <c r="F62" s="8" t="n">
        <v>80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true" outlineLevel="0" collapsed="false">
      <c r="A63" s="1"/>
      <c r="B63" s="1" t="s">
        <v>10</v>
      </c>
      <c r="C63" s="7" t="s">
        <v>9</v>
      </c>
      <c r="D63" s="8" t="n">
        <v>40</v>
      </c>
      <c r="E63" s="7" t="s">
        <v>34</v>
      </c>
      <c r="F63" s="8" t="n">
        <v>85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true" outlineLevel="0" collapsed="false">
      <c r="A64" s="1"/>
      <c r="B64" s="1" t="s">
        <v>30</v>
      </c>
      <c r="C64" s="7" t="s">
        <v>9</v>
      </c>
      <c r="D64" s="8" t="n">
        <v>40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true" outlineLevel="0" collapsed="false">
      <c r="A65" s="1"/>
      <c r="B65" s="1" t="s">
        <v>37</v>
      </c>
      <c r="C65" s="7" t="s">
        <v>9</v>
      </c>
      <c r="D65" s="8" t="n">
        <v>45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true" outlineLevel="0" collapsed="false">
      <c r="A66" s="1"/>
      <c r="B66" s="1" t="s">
        <v>27</v>
      </c>
      <c r="C66" s="7" t="s">
        <v>9</v>
      </c>
      <c r="D66" s="8" t="n">
        <v>55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true" outlineLevel="0" collapsed="false">
      <c r="A67" s="1"/>
      <c r="B67" s="1" t="s">
        <v>28</v>
      </c>
      <c r="C67" s="7" t="s">
        <v>9</v>
      </c>
      <c r="D67" s="8" t="n">
        <v>67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" hidden="false" customHeight="true" outlineLevel="0" collapsed="false">
      <c r="A68" s="1"/>
      <c r="B68" s="9" t="s">
        <v>11</v>
      </c>
      <c r="C68" s="10" t="s">
        <v>12</v>
      </c>
      <c r="D68" s="11" t="n">
        <v>287</v>
      </c>
      <c r="E68" s="12"/>
      <c r="F68" s="1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" hidden="false" customHeight="true" outlineLevel="0" collapsed="false">
      <c r="A70" s="1"/>
      <c r="B70" s="5" t="s">
        <v>38</v>
      </c>
      <c r="C70" s="6"/>
      <c r="D70" s="6"/>
      <c r="E70" s="6"/>
      <c r="F70" s="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" hidden="false" customHeight="true" outlineLevel="0" collapsed="false">
      <c r="A71" s="1"/>
      <c r="B71" s="1" t="s">
        <v>8</v>
      </c>
      <c r="C71" s="7" t="s">
        <v>9</v>
      </c>
      <c r="D71" s="8" t="n">
        <v>40</v>
      </c>
      <c r="E71" s="7" t="s">
        <v>39</v>
      </c>
      <c r="F71" s="8" t="n">
        <v>80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" hidden="false" customHeight="true" outlineLevel="0" collapsed="false">
      <c r="A72" s="1"/>
      <c r="B72" s="1" t="s">
        <v>10</v>
      </c>
      <c r="C72" s="7" t="s">
        <v>9</v>
      </c>
      <c r="D72" s="8" t="n">
        <v>40</v>
      </c>
      <c r="E72" s="7" t="s">
        <v>34</v>
      </c>
      <c r="F72" s="8" t="n">
        <v>85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" hidden="false" customHeight="true" outlineLevel="0" collapsed="false">
      <c r="A73" s="1"/>
      <c r="B73" s="1" t="s">
        <v>30</v>
      </c>
      <c r="C73" s="7" t="s">
        <v>9</v>
      </c>
      <c r="D73" s="8" t="n">
        <v>40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" hidden="false" customHeight="true" outlineLevel="0" collapsed="false">
      <c r="A74" s="1"/>
      <c r="B74" s="1" t="s">
        <v>37</v>
      </c>
      <c r="C74" s="7" t="s">
        <v>9</v>
      </c>
      <c r="D74" s="8" t="n">
        <v>45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true" outlineLevel="0" collapsed="false">
      <c r="A75" s="1"/>
      <c r="B75" s="1" t="s">
        <v>27</v>
      </c>
      <c r="C75" s="7" t="s">
        <v>9</v>
      </c>
      <c r="D75" s="8" t="n">
        <v>55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" hidden="false" customHeight="true" outlineLevel="0" collapsed="false">
      <c r="A76" s="1"/>
      <c r="B76" s="1" t="s">
        <v>28</v>
      </c>
      <c r="C76" s="7" t="s">
        <v>9</v>
      </c>
      <c r="D76" s="8" t="n">
        <v>67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" hidden="false" customHeight="true" outlineLevel="0" collapsed="false">
      <c r="A77" s="1"/>
      <c r="B77" s="1" t="s">
        <v>14</v>
      </c>
      <c r="C77" s="7" t="s">
        <v>20</v>
      </c>
      <c r="D77" s="8" t="n">
        <v>12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" hidden="false" customHeight="true" outlineLevel="0" collapsed="false">
      <c r="A78" s="1"/>
      <c r="B78" s="1" t="s">
        <v>40</v>
      </c>
      <c r="C78" s="7" t="s">
        <v>23</v>
      </c>
      <c r="D78" s="8" t="n">
        <v>24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" hidden="false" customHeight="true" outlineLevel="0" collapsed="false">
      <c r="A79" s="1"/>
      <c r="B79" s="9" t="s">
        <v>11</v>
      </c>
      <c r="C79" s="10" t="s">
        <v>12</v>
      </c>
      <c r="D79" s="11" t="n">
        <v>323</v>
      </c>
      <c r="E79" s="12"/>
      <c r="F79" s="1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107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8"/>
    <col collapsed="false" customWidth="true" hidden="false" outlineLevel="0" max="6" min="6" style="0" width="27.57"/>
    <col collapsed="false" customWidth="true" hidden="false" outlineLevel="0" max="7" min="7" style="0" width="15.71"/>
    <col collapsed="false" customWidth="true" hidden="false" outlineLevel="0" max="8" min="8" style="0" width="16.4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7.25" hidden="false" customHeight="true" outlineLevel="0" collapsed="false">
      <c r="A2" s="1"/>
      <c r="B2" s="2" t="s">
        <v>41</v>
      </c>
      <c r="C2" s="2"/>
      <c r="D2" s="2"/>
      <c r="E2" s="2"/>
      <c r="F2" s="2"/>
      <c r="G2" s="13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1"/>
      <c r="B3" s="3" t="s">
        <v>42</v>
      </c>
      <c r="C3" s="3"/>
      <c r="D3" s="3"/>
      <c r="E3" s="3"/>
      <c r="F3" s="3"/>
      <c r="G3" s="1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"/>
      <c r="B5" s="15" t="s">
        <v>2</v>
      </c>
      <c r="C5" s="15" t="s">
        <v>3</v>
      </c>
      <c r="D5" s="15" t="s">
        <v>43</v>
      </c>
      <c r="E5" s="15" t="s">
        <v>44</v>
      </c>
      <c r="F5" s="15" t="s">
        <v>45</v>
      </c>
      <c r="G5" s="15" t="s">
        <v>46</v>
      </c>
      <c r="H5" s="15" t="s">
        <v>47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"/>
      <c r="B7" s="16" t="s">
        <v>48</v>
      </c>
      <c r="C7" s="17"/>
      <c r="D7" s="17"/>
      <c r="E7" s="17"/>
      <c r="F7" s="17"/>
      <c r="G7" s="17"/>
      <c r="H7" s="1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"/>
      <c r="B8" s="1" t="s">
        <v>49</v>
      </c>
      <c r="C8" s="7" t="s">
        <v>9</v>
      </c>
      <c r="D8" s="8" t="n">
        <v>38</v>
      </c>
      <c r="E8" s="1"/>
      <c r="F8" s="8" t="n">
        <v>45</v>
      </c>
      <c r="G8" s="8"/>
      <c r="H8" s="8" t="n">
        <v>20.25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"/>
      <c r="B9" s="1" t="s">
        <v>10</v>
      </c>
      <c r="C9" s="7" t="s">
        <v>9</v>
      </c>
      <c r="D9" s="8" t="n">
        <v>37</v>
      </c>
      <c r="E9" s="1"/>
      <c r="F9" s="8" t="n">
        <v>45</v>
      </c>
      <c r="G9" s="8"/>
      <c r="H9" s="8" t="n">
        <v>19.58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"/>
      <c r="B10" s="1"/>
      <c r="C10" s="7"/>
      <c r="D10" s="18"/>
      <c r="E10" s="1"/>
      <c r="F10" s="18"/>
      <c r="G10" s="18"/>
      <c r="H10" s="1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"/>
      <c r="B11" s="19"/>
      <c r="C11" s="10" t="s">
        <v>12</v>
      </c>
      <c r="D11" s="11" t="n">
        <f aca="false">SUM(D8:D9)</f>
        <v>75</v>
      </c>
      <c r="E11" s="20" t="s">
        <v>50</v>
      </c>
      <c r="F11" s="11" t="n">
        <f aca="false">SUM(F8:F9)</f>
        <v>90</v>
      </c>
      <c r="G11" s="21" t="n">
        <v>26.65</v>
      </c>
      <c r="H11" s="21" t="n">
        <f aca="false">SUM(H8:H10)</f>
        <v>39.83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"/>
      <c r="B12" s="1"/>
      <c r="C12" s="22" t="s">
        <v>51</v>
      </c>
      <c r="D12" s="23" t="n">
        <f aca="false">(D11-(G11+H11))/D11</f>
        <v>0.1136</v>
      </c>
      <c r="E12" s="24" t="n">
        <f aca="false">D11-(G11+H11)</f>
        <v>8.52000000000001</v>
      </c>
      <c r="F12" s="22" t="s">
        <v>51</v>
      </c>
      <c r="G12" s="23" t="n">
        <f aca="false">(F11-(G11+H11))/F11</f>
        <v>0.261333333333334</v>
      </c>
      <c r="H12" s="24" t="n">
        <f aca="false">F11-(G11+H11)</f>
        <v>23.52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"/>
      <c r="B13" s="16" t="s">
        <v>52</v>
      </c>
      <c r="C13" s="17"/>
      <c r="D13" s="17"/>
      <c r="E13" s="17"/>
      <c r="F13" s="17"/>
      <c r="G13" s="17"/>
      <c r="H13" s="1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"/>
      <c r="B14" s="1" t="s">
        <v>49</v>
      </c>
      <c r="C14" s="7" t="s">
        <v>9</v>
      </c>
      <c r="D14" s="8" t="n">
        <v>38</v>
      </c>
      <c r="E14" s="1"/>
      <c r="F14" s="8" t="n">
        <v>45</v>
      </c>
      <c r="G14" s="8"/>
      <c r="H14" s="8" t="n">
        <v>20.25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"/>
      <c r="B15" s="1" t="s">
        <v>10</v>
      </c>
      <c r="C15" s="7" t="s">
        <v>9</v>
      </c>
      <c r="D15" s="8" t="n">
        <v>37</v>
      </c>
      <c r="E15" s="1"/>
      <c r="F15" s="8" t="n">
        <v>45</v>
      </c>
      <c r="G15" s="8"/>
      <c r="H15" s="8" t="n">
        <v>19.58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"/>
      <c r="B16" s="1" t="s">
        <v>30</v>
      </c>
      <c r="C16" s="7" t="s">
        <v>9</v>
      </c>
      <c r="D16" s="8" t="n">
        <v>40</v>
      </c>
      <c r="E16" s="1"/>
      <c r="F16" s="8" t="n">
        <v>45</v>
      </c>
      <c r="G16" s="8"/>
      <c r="H16" s="8" t="n">
        <v>18.23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"/>
      <c r="B17" s="9" t="s">
        <v>11</v>
      </c>
      <c r="C17" s="10" t="s">
        <v>12</v>
      </c>
      <c r="D17" s="11" t="n">
        <f aca="false">SUM(D14:D16)</f>
        <v>115</v>
      </c>
      <c r="E17" s="20" t="s">
        <v>50</v>
      </c>
      <c r="F17" s="11" t="n">
        <f aca="false">SUM(F14:F16)</f>
        <v>135</v>
      </c>
      <c r="G17" s="21" t="n">
        <v>26.65</v>
      </c>
      <c r="H17" s="11" t="n">
        <f aca="false">SUM(H14:H16)</f>
        <v>58.06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"/>
      <c r="B18" s="1"/>
      <c r="C18" s="22" t="s">
        <v>51</v>
      </c>
      <c r="D18" s="23" t="n">
        <f aca="false">(D17-(G17+H17))/D17</f>
        <v>0.263391304347826</v>
      </c>
      <c r="E18" s="24" t="n">
        <f aca="false">D17-(G17+H17)</f>
        <v>30.29</v>
      </c>
      <c r="F18" s="22" t="s">
        <v>51</v>
      </c>
      <c r="G18" s="23" t="n">
        <f aca="false">(F17-(G17+H17))/F17</f>
        <v>0.372518518518518</v>
      </c>
      <c r="H18" s="24" t="n">
        <f aca="false">F17-(G17+H17)</f>
        <v>50.29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"/>
      <c r="B19" s="16" t="s">
        <v>53</v>
      </c>
      <c r="C19" s="17"/>
      <c r="D19" s="17"/>
      <c r="E19" s="17"/>
      <c r="F19" s="17"/>
      <c r="G19" s="17"/>
      <c r="H19" s="1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"/>
      <c r="B20" s="1" t="s">
        <v>49</v>
      </c>
      <c r="C20" s="7" t="s">
        <v>9</v>
      </c>
      <c r="D20" s="8" t="n">
        <v>38</v>
      </c>
      <c r="E20" s="1"/>
      <c r="F20" s="8" t="n">
        <v>45</v>
      </c>
      <c r="G20" s="8"/>
      <c r="H20" s="8" t="n">
        <v>20.25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1"/>
      <c r="B21" s="1" t="s">
        <v>10</v>
      </c>
      <c r="C21" s="7" t="s">
        <v>9</v>
      </c>
      <c r="D21" s="8" t="n">
        <v>37</v>
      </c>
      <c r="E21" s="1"/>
      <c r="F21" s="8" t="n">
        <v>45</v>
      </c>
      <c r="G21" s="8"/>
      <c r="H21" s="8" t="n">
        <v>19.58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1"/>
      <c r="B22" s="1" t="s">
        <v>27</v>
      </c>
      <c r="C22" s="7" t="s">
        <v>9</v>
      </c>
      <c r="D22" s="8" t="n">
        <v>60</v>
      </c>
      <c r="E22" s="1"/>
      <c r="F22" s="8" t="n">
        <v>65</v>
      </c>
      <c r="G22" s="8"/>
      <c r="H22" s="8" t="n">
        <v>28.35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A23" s="1"/>
      <c r="B23" s="9" t="s">
        <v>11</v>
      </c>
      <c r="C23" s="10" t="s">
        <v>12</v>
      </c>
      <c r="D23" s="11" t="n">
        <f aca="false">SUM(D20:D22)</f>
        <v>135</v>
      </c>
      <c r="E23" s="20" t="s">
        <v>54</v>
      </c>
      <c r="F23" s="11" t="n">
        <f aca="false">SUM(F20:F22)</f>
        <v>155</v>
      </c>
      <c r="G23" s="21" t="n">
        <v>26.65</v>
      </c>
      <c r="H23" s="11" t="n">
        <f aca="false">SUM(H20:H22)</f>
        <v>68.18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/>
      <c r="B24" s="1"/>
      <c r="C24" s="22" t="s">
        <v>51</v>
      </c>
      <c r="D24" s="23" t="n">
        <f aca="false">(D23-(G23+H23))/D23</f>
        <v>0.297555555555555</v>
      </c>
      <c r="E24" s="24" t="n">
        <f aca="false">D23-(G23+H23)</f>
        <v>40.17</v>
      </c>
      <c r="F24" s="22" t="s">
        <v>51</v>
      </c>
      <c r="G24" s="23" t="n">
        <f aca="false">(F23-(G23+H23))/F23</f>
        <v>0.388193548387097</v>
      </c>
      <c r="H24" s="24" t="n">
        <f aca="false">F23-(G23+H23)</f>
        <v>60.17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customFormat="false" ht="17.25" hidden="false" customHeight="true" outlineLevel="0" collapsed="false">
      <c r="A2" s="1"/>
      <c r="B2" s="25" t="s">
        <v>55</v>
      </c>
      <c r="C2" s="25"/>
      <c r="D2" s="25"/>
      <c r="E2" s="25"/>
      <c r="F2" s="25"/>
      <c r="G2" s="25"/>
      <c r="H2" s="25"/>
      <c r="I2" s="25"/>
      <c r="J2" s="2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customFormat="false" ht="15" hidden="false" customHeight="true" outlineLevel="0" collapsed="false">
      <c r="A3" s="1"/>
      <c r="B3" s="26" t="s">
        <v>56</v>
      </c>
      <c r="C3" s="26"/>
      <c r="D3" s="26"/>
      <c r="E3" s="26"/>
      <c r="F3" s="26"/>
      <c r="G3" s="26"/>
      <c r="H3" s="26"/>
      <c r="I3" s="26"/>
      <c r="J3" s="2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customFormat="false" ht="15" hidden="false" customHeight="true" outlineLevel="0" collapsed="false">
      <c r="A4" s="1"/>
      <c r="B4" s="27" t="s">
        <v>57</v>
      </c>
      <c r="C4" s="27"/>
      <c r="D4" s="27"/>
      <c r="E4" s="27"/>
      <c r="F4" s="27"/>
      <c r="G4" s="27"/>
      <c r="H4" s="27"/>
      <c r="I4" s="27"/>
      <c r="J4" s="27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customFormat="false" ht="31.5" hidden="false" customHeight="true" outlineLevel="0" collapsed="false">
      <c r="A6" s="1"/>
      <c r="B6" s="28" t="s">
        <v>58</v>
      </c>
      <c r="C6" s="28" t="s">
        <v>3</v>
      </c>
      <c r="D6" s="28" t="s">
        <v>59</v>
      </c>
      <c r="E6" s="28" t="s">
        <v>60</v>
      </c>
      <c r="F6" s="28" t="s">
        <v>61</v>
      </c>
      <c r="G6" s="28" t="s">
        <v>62</v>
      </c>
      <c r="H6" s="28" t="s">
        <v>63</v>
      </c>
      <c r="I6" s="28" t="s">
        <v>64</v>
      </c>
      <c r="J6" s="28" t="s">
        <v>65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customFormat="false" ht="24" hidden="false" customHeight="true" outlineLevel="0" collapsed="false">
      <c r="A8" s="1"/>
      <c r="B8" s="29" t="s">
        <v>66</v>
      </c>
      <c r="C8" s="29"/>
      <c r="D8" s="29"/>
      <c r="E8" s="29"/>
      <c r="F8" s="29"/>
      <c r="G8" s="29"/>
      <c r="H8" s="29"/>
      <c r="I8" s="29"/>
      <c r="J8" s="29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customFormat="false" ht="15" hidden="false" customHeight="true" outlineLevel="0" collapsed="false">
      <c r="A9" s="1"/>
      <c r="B9" s="30" t="s">
        <v>67</v>
      </c>
      <c r="C9" s="31" t="s">
        <v>68</v>
      </c>
      <c r="D9" s="32" t="n">
        <v>5.39</v>
      </c>
      <c r="E9" s="33" t="n">
        <f aca="false">D9*2</f>
        <v>10.78</v>
      </c>
      <c r="F9" s="31" t="s">
        <v>69</v>
      </c>
      <c r="G9" s="32" t="n">
        <v>4.32135</v>
      </c>
      <c r="H9" s="32" t="n">
        <v>0.5</v>
      </c>
      <c r="I9" s="34" t="n">
        <f aca="false">E9+G9+H9</f>
        <v>15.60135</v>
      </c>
      <c r="J9" s="35" t="n">
        <f aca="false">ROUND(J11*(I9/I11),0)</f>
        <v>25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customFormat="false" ht="15" hidden="false" customHeight="true" outlineLevel="0" collapsed="false">
      <c r="A10" s="1"/>
      <c r="B10" s="30" t="s">
        <v>70</v>
      </c>
      <c r="C10" s="31" t="s">
        <v>71</v>
      </c>
      <c r="D10" s="32" t="n">
        <v>5.89</v>
      </c>
      <c r="E10" s="33" t="n">
        <f aca="false">D10*2</f>
        <v>11.78</v>
      </c>
      <c r="F10" s="31" t="s">
        <v>72</v>
      </c>
      <c r="G10" s="32" t="n">
        <v>0.67375</v>
      </c>
      <c r="H10" s="32" t="n">
        <v>0.5</v>
      </c>
      <c r="I10" s="34" t="n">
        <f aca="false">E10+G10+H10</f>
        <v>12.95375</v>
      </c>
      <c r="J10" s="35" t="n">
        <f aca="false">J11-(J9)</f>
        <v>20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customFormat="false" ht="15" hidden="false" customHeight="true" outlineLevel="0" collapsed="false">
      <c r="A11" s="1"/>
      <c r="B11" s="36" t="s">
        <v>11</v>
      </c>
      <c r="C11" s="37"/>
      <c r="D11" s="37"/>
      <c r="E11" s="37"/>
      <c r="F11" s="37"/>
      <c r="G11" s="37"/>
      <c r="H11" s="38" t="s">
        <v>73</v>
      </c>
      <c r="I11" s="39" t="n">
        <f aca="false">SUM(I9:I10)</f>
        <v>28.5551</v>
      </c>
      <c r="J11" s="40" t="n">
        <v>45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customFormat="false" ht="15" hidden="false" customHeight="true" outlineLevel="0" collapsed="false">
      <c r="A12" s="1"/>
      <c r="B12" s="1"/>
      <c r="C12" s="1"/>
      <c r="D12" s="1"/>
      <c r="E12" s="1"/>
      <c r="F12" s="1"/>
      <c r="G12" s="1"/>
      <c r="H12" s="22" t="s">
        <v>51</v>
      </c>
      <c r="I12" s="23" t="n">
        <f aca="false">(J11-I11)/J11</f>
        <v>0.365442222222222</v>
      </c>
      <c r="J12" s="24" t="n">
        <f aca="false">J11-I11</f>
        <v>16.4449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customFormat="false" ht="24" hidden="false" customHeight="true" outlineLevel="0" collapsed="false">
      <c r="A14" s="1"/>
      <c r="B14" s="29" t="s">
        <v>74</v>
      </c>
      <c r="C14" s="29"/>
      <c r="D14" s="29"/>
      <c r="E14" s="29"/>
      <c r="F14" s="29"/>
      <c r="G14" s="29"/>
      <c r="H14" s="29"/>
      <c r="I14" s="29"/>
      <c r="J14" s="2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customFormat="false" ht="15" hidden="false" customHeight="true" outlineLevel="0" collapsed="false">
      <c r="A15" s="1"/>
      <c r="B15" s="30" t="s">
        <v>67</v>
      </c>
      <c r="C15" s="31" t="s">
        <v>68</v>
      </c>
      <c r="D15" s="32" t="n">
        <v>5.39</v>
      </c>
      <c r="E15" s="33" t="n">
        <f aca="false">D15*2</f>
        <v>10.78</v>
      </c>
      <c r="F15" s="31" t="s">
        <v>69</v>
      </c>
      <c r="G15" s="32" t="n">
        <v>4.32135</v>
      </c>
      <c r="H15" s="32" t="n">
        <v>0.5</v>
      </c>
      <c r="I15" s="34" t="n">
        <f aca="false">E15+G15+H15</f>
        <v>15.60135</v>
      </c>
      <c r="J15" s="35" t="n">
        <f aca="false">ROUND(J18*(I15/I18),0)</f>
        <v>20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customFormat="false" ht="15" hidden="false" customHeight="true" outlineLevel="0" collapsed="false">
      <c r="A16" s="1"/>
      <c r="B16" s="30" t="s">
        <v>70</v>
      </c>
      <c r="C16" s="31" t="s">
        <v>71</v>
      </c>
      <c r="D16" s="32" t="n">
        <v>5.89</v>
      </c>
      <c r="E16" s="33" t="n">
        <f aca="false">D16*2</f>
        <v>11.78</v>
      </c>
      <c r="F16" s="31" t="s">
        <v>72</v>
      </c>
      <c r="G16" s="32" t="n">
        <v>0.67375</v>
      </c>
      <c r="H16" s="32" t="n">
        <v>0.5</v>
      </c>
      <c r="I16" s="34" t="n">
        <f aca="false">E16+G16+H16</f>
        <v>12.95375</v>
      </c>
      <c r="J16" s="35" t="n">
        <f aca="false">ROUND(J18*(I16/I18),0)</f>
        <v>17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customFormat="false" ht="15" hidden="false" customHeight="true" outlineLevel="0" collapsed="false">
      <c r="A17" s="1"/>
      <c r="B17" s="30" t="s">
        <v>14</v>
      </c>
      <c r="C17" s="31" t="s">
        <v>75</v>
      </c>
      <c r="D17" s="32" t="n">
        <v>4.5</v>
      </c>
      <c r="E17" s="33" t="n">
        <f aca="false">D17*2</f>
        <v>9</v>
      </c>
      <c r="F17" s="31" t="s">
        <v>69</v>
      </c>
      <c r="G17" s="32" t="n">
        <v>4.32135</v>
      </c>
      <c r="H17" s="32" t="n">
        <v>0.5</v>
      </c>
      <c r="I17" s="34" t="n">
        <f aca="false">E17+G17+H17</f>
        <v>13.82135</v>
      </c>
      <c r="J17" s="35" t="n">
        <f aca="false">J18-(J15+J16)</f>
        <v>18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customFormat="false" ht="15" hidden="false" customHeight="true" outlineLevel="0" collapsed="false">
      <c r="A18" s="1"/>
      <c r="B18" s="36" t="s">
        <v>11</v>
      </c>
      <c r="C18" s="37"/>
      <c r="D18" s="37"/>
      <c r="E18" s="37"/>
      <c r="F18" s="37"/>
      <c r="G18" s="37"/>
      <c r="H18" s="38" t="s">
        <v>73</v>
      </c>
      <c r="I18" s="39" t="n">
        <f aca="false">SUM(I15:I17)</f>
        <v>42.37645</v>
      </c>
      <c r="J18" s="40" t="n">
        <v>55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customFormat="false" ht="15" hidden="false" customHeight="true" outlineLevel="0" collapsed="false">
      <c r="A19" s="1"/>
      <c r="B19" s="1"/>
      <c r="C19" s="1"/>
      <c r="D19" s="1"/>
      <c r="E19" s="1"/>
      <c r="F19" s="1"/>
      <c r="G19" s="1"/>
      <c r="H19" s="22" t="s">
        <v>51</v>
      </c>
      <c r="I19" s="23" t="n">
        <f aca="false">(J18-I18)/J18</f>
        <v>0.229519090909091</v>
      </c>
      <c r="J19" s="24" t="n">
        <f aca="false">J18-I18</f>
        <v>12.62355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customFormat="false" ht="24" hidden="false" customHeight="true" outlineLevel="0" collapsed="false">
      <c r="A21" s="1"/>
      <c r="B21" s="29" t="s">
        <v>76</v>
      </c>
      <c r="C21" s="29"/>
      <c r="D21" s="29"/>
      <c r="E21" s="29"/>
      <c r="F21" s="29"/>
      <c r="G21" s="29"/>
      <c r="H21" s="29"/>
      <c r="I21" s="29"/>
      <c r="J21" s="29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customFormat="false" ht="15" hidden="false" customHeight="true" outlineLevel="0" collapsed="false">
      <c r="A22" s="1"/>
      <c r="B22" s="30" t="s">
        <v>77</v>
      </c>
      <c r="C22" s="31" t="s">
        <v>78</v>
      </c>
      <c r="D22" s="32" t="n">
        <v>4.13</v>
      </c>
      <c r="E22" s="33" t="n">
        <f aca="false">D22*2</f>
        <v>8.26</v>
      </c>
      <c r="F22" s="31" t="s">
        <v>69</v>
      </c>
      <c r="G22" s="32" t="n">
        <v>4.32135</v>
      </c>
      <c r="H22" s="32" t="n">
        <v>0.5</v>
      </c>
      <c r="I22" s="34" t="n">
        <f aca="false">E22+G22+H22</f>
        <v>13.08135</v>
      </c>
      <c r="J22" s="35" t="n">
        <f aca="false">ROUND(J25*(I22/I25),0)</f>
        <v>16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customFormat="false" ht="15" hidden="false" customHeight="true" outlineLevel="0" collapsed="false">
      <c r="A23" s="1"/>
      <c r="B23" s="30" t="s">
        <v>70</v>
      </c>
      <c r="C23" s="31" t="s">
        <v>71</v>
      </c>
      <c r="D23" s="32" t="n">
        <v>5.89</v>
      </c>
      <c r="E23" s="33" t="n">
        <f aca="false">D23*2</f>
        <v>11.78</v>
      </c>
      <c r="F23" s="31" t="s">
        <v>72</v>
      </c>
      <c r="G23" s="32" t="n">
        <v>0.67375</v>
      </c>
      <c r="H23" s="32" t="n">
        <v>0.5</v>
      </c>
      <c r="I23" s="34" t="n">
        <f aca="false">E23+G23+H23</f>
        <v>12.95375</v>
      </c>
      <c r="J23" s="35" t="n">
        <f aca="false">ROUND(J25*(I23/I25),0)</f>
        <v>16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customFormat="false" ht="15" hidden="false" customHeight="true" outlineLevel="0" collapsed="false">
      <c r="A24" s="1"/>
      <c r="B24" s="30" t="s">
        <v>14</v>
      </c>
      <c r="C24" s="31" t="s">
        <v>75</v>
      </c>
      <c r="D24" s="32" t="n">
        <v>4.5</v>
      </c>
      <c r="E24" s="33" t="n">
        <f aca="false">D24*2</f>
        <v>9</v>
      </c>
      <c r="F24" s="31" t="s">
        <v>69</v>
      </c>
      <c r="G24" s="32" t="n">
        <v>4.32135</v>
      </c>
      <c r="H24" s="32" t="n">
        <v>0.5</v>
      </c>
      <c r="I24" s="34" t="n">
        <f aca="false">E24+G24+H24</f>
        <v>13.82135</v>
      </c>
      <c r="J24" s="35" t="n">
        <f aca="false">J25-(J22+J23)</f>
        <v>18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customFormat="false" ht="15" hidden="false" customHeight="true" outlineLevel="0" collapsed="false">
      <c r="A25" s="1"/>
      <c r="B25" s="36" t="s">
        <v>11</v>
      </c>
      <c r="C25" s="37"/>
      <c r="D25" s="37"/>
      <c r="E25" s="37"/>
      <c r="F25" s="37"/>
      <c r="G25" s="37"/>
      <c r="H25" s="38" t="s">
        <v>73</v>
      </c>
      <c r="I25" s="39" t="n">
        <f aca="false">SUM(I22:I24)</f>
        <v>39.85645</v>
      </c>
      <c r="J25" s="40" t="n">
        <v>50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customFormat="false" ht="15" hidden="false" customHeight="true" outlineLevel="0" collapsed="false">
      <c r="A26" s="1"/>
      <c r="B26" s="1"/>
      <c r="C26" s="1"/>
      <c r="D26" s="1"/>
      <c r="E26" s="1"/>
      <c r="F26" s="1"/>
      <c r="G26" s="1"/>
      <c r="H26" s="22" t="s">
        <v>51</v>
      </c>
      <c r="I26" s="23" t="n">
        <f aca="false">(J25-I25)/J25</f>
        <v>0.202871</v>
      </c>
      <c r="J26" s="24" t="n">
        <f aca="false">J25-I25</f>
        <v>10.14355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customFormat="false" ht="24" hidden="false" customHeight="true" outlineLevel="0" collapsed="false">
      <c r="A28" s="1"/>
      <c r="B28" s="29" t="s">
        <v>79</v>
      </c>
      <c r="C28" s="29"/>
      <c r="D28" s="29"/>
      <c r="E28" s="29"/>
      <c r="F28" s="29"/>
      <c r="G28" s="29"/>
      <c r="H28" s="29"/>
      <c r="I28" s="29"/>
      <c r="J28" s="29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customFormat="false" ht="15" hidden="false" customHeight="true" outlineLevel="0" collapsed="false">
      <c r="A29" s="1"/>
      <c r="B29" s="30" t="s">
        <v>77</v>
      </c>
      <c r="C29" s="31" t="s">
        <v>78</v>
      </c>
      <c r="D29" s="32" t="n">
        <v>4.13</v>
      </c>
      <c r="E29" s="33" t="n">
        <f aca="false">D29*2</f>
        <v>8.26</v>
      </c>
      <c r="F29" s="31" t="s">
        <v>69</v>
      </c>
      <c r="G29" s="32" t="n">
        <v>4.32135</v>
      </c>
      <c r="H29" s="32" t="n">
        <v>0.5</v>
      </c>
      <c r="I29" s="34" t="n">
        <f aca="false">E29+G29+H29</f>
        <v>13.08135</v>
      </c>
      <c r="J29" s="35" t="n">
        <f aca="false">ROUND(J33*(I29/I33),0)</f>
        <v>17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customFormat="false" ht="15" hidden="false" customHeight="true" outlineLevel="0" collapsed="false">
      <c r="A30" s="1"/>
      <c r="B30" s="30" t="s">
        <v>70</v>
      </c>
      <c r="C30" s="31" t="s">
        <v>71</v>
      </c>
      <c r="D30" s="32" t="n">
        <v>5.89</v>
      </c>
      <c r="E30" s="33" t="n">
        <f aca="false">D30*2</f>
        <v>11.78</v>
      </c>
      <c r="F30" s="31" t="s">
        <v>72</v>
      </c>
      <c r="G30" s="32" t="n">
        <v>0.67375</v>
      </c>
      <c r="H30" s="32" t="n">
        <v>0.5</v>
      </c>
      <c r="I30" s="34" t="n">
        <f aca="false">E30+G30+H30</f>
        <v>12.95375</v>
      </c>
      <c r="J30" s="35" t="n">
        <f aca="false">ROUND(J33*(I30/I33),0)</f>
        <v>17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customFormat="false" ht="15" hidden="false" customHeight="true" outlineLevel="0" collapsed="false">
      <c r="A31" s="1"/>
      <c r="B31" s="30" t="s">
        <v>14</v>
      </c>
      <c r="C31" s="31" t="s">
        <v>75</v>
      </c>
      <c r="D31" s="32" t="n">
        <v>4.5</v>
      </c>
      <c r="E31" s="33" t="n">
        <f aca="false">D31*2</f>
        <v>9</v>
      </c>
      <c r="F31" s="31" t="s">
        <v>69</v>
      </c>
      <c r="G31" s="32" t="n">
        <v>4.32135</v>
      </c>
      <c r="H31" s="32" t="n">
        <v>0.5</v>
      </c>
      <c r="I31" s="34" t="n">
        <f aca="false">E31+G31+H31</f>
        <v>13.82135</v>
      </c>
      <c r="J31" s="35" t="n">
        <f aca="false">ROUND(J33*(I31/I33),0)</f>
        <v>18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customFormat="false" ht="15" hidden="false" customHeight="true" outlineLevel="0" collapsed="false">
      <c r="A32" s="1"/>
      <c r="B32" s="30" t="s">
        <v>21</v>
      </c>
      <c r="C32" s="31" t="s">
        <v>75</v>
      </c>
      <c r="D32" s="32" t="n">
        <v>6</v>
      </c>
      <c r="E32" s="33" t="n">
        <f aca="false">D32*2</f>
        <v>12</v>
      </c>
      <c r="F32" s="31" t="s">
        <v>69</v>
      </c>
      <c r="G32" s="32" t="n">
        <v>4.32135</v>
      </c>
      <c r="H32" s="32" t="n">
        <v>0.5</v>
      </c>
      <c r="I32" s="34" t="n">
        <f aca="false">E32+G32+H32</f>
        <v>16.82135</v>
      </c>
      <c r="J32" s="35" t="n">
        <f aca="false">J33-(J29+J30+J31)</f>
        <v>23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customFormat="false" ht="15" hidden="false" customHeight="true" outlineLevel="0" collapsed="false">
      <c r="A33" s="1"/>
      <c r="B33" s="36" t="s">
        <v>11</v>
      </c>
      <c r="C33" s="37"/>
      <c r="D33" s="37"/>
      <c r="E33" s="37"/>
      <c r="F33" s="37"/>
      <c r="G33" s="37"/>
      <c r="H33" s="38" t="s">
        <v>73</v>
      </c>
      <c r="I33" s="39" t="n">
        <f aca="false">SUM(I29:I32)</f>
        <v>56.6778</v>
      </c>
      <c r="J33" s="40" t="n">
        <v>75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customFormat="false" ht="15" hidden="false" customHeight="true" outlineLevel="0" collapsed="false">
      <c r="A34" s="1"/>
      <c r="B34" s="1"/>
      <c r="C34" s="1"/>
      <c r="D34" s="1"/>
      <c r="E34" s="1"/>
      <c r="F34" s="1"/>
      <c r="G34" s="1"/>
      <c r="H34" s="22" t="s">
        <v>51</v>
      </c>
      <c r="I34" s="23" t="n">
        <f aca="false">(J33-I33)/J33</f>
        <v>0.244296</v>
      </c>
      <c r="J34" s="24" t="n">
        <f aca="false">J33-I33</f>
        <v>18.3222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customFormat="false" ht="24" hidden="false" customHeight="true" outlineLevel="0" collapsed="false">
      <c r="A36" s="1"/>
      <c r="B36" s="29" t="s">
        <v>80</v>
      </c>
      <c r="C36" s="29"/>
      <c r="D36" s="29"/>
      <c r="E36" s="29"/>
      <c r="F36" s="29"/>
      <c r="G36" s="29"/>
      <c r="H36" s="29"/>
      <c r="I36" s="29"/>
      <c r="J36" s="2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customFormat="false" ht="15" hidden="false" customHeight="true" outlineLevel="0" collapsed="false">
      <c r="A37" s="1"/>
      <c r="B37" s="30" t="s">
        <v>67</v>
      </c>
      <c r="C37" s="31" t="s">
        <v>68</v>
      </c>
      <c r="D37" s="32" t="n">
        <v>5.39</v>
      </c>
      <c r="E37" s="33" t="n">
        <f aca="false">D37*2</f>
        <v>10.78</v>
      </c>
      <c r="F37" s="31" t="s">
        <v>69</v>
      </c>
      <c r="G37" s="32" t="n">
        <v>4.32135</v>
      </c>
      <c r="H37" s="32" t="n">
        <v>0.5</v>
      </c>
      <c r="I37" s="34" t="n">
        <f aca="false">E37+G37+H37</f>
        <v>15.60135</v>
      </c>
      <c r="J37" s="35" t="n">
        <f aca="false">ROUND(J41*(I37/I41),0)</f>
        <v>20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customFormat="false" ht="15" hidden="false" customHeight="true" outlineLevel="0" collapsed="false">
      <c r="A38" s="1"/>
      <c r="B38" s="30" t="s">
        <v>70</v>
      </c>
      <c r="C38" s="31" t="s">
        <v>71</v>
      </c>
      <c r="D38" s="32" t="n">
        <v>5.89</v>
      </c>
      <c r="E38" s="33" t="n">
        <f aca="false">D38*2</f>
        <v>11.78</v>
      </c>
      <c r="F38" s="31" t="s">
        <v>72</v>
      </c>
      <c r="G38" s="32" t="n">
        <v>0.67375</v>
      </c>
      <c r="H38" s="32" t="n">
        <v>0.5</v>
      </c>
      <c r="I38" s="34" t="n">
        <f aca="false">E38+G38+H38</f>
        <v>12.95375</v>
      </c>
      <c r="J38" s="35" t="n">
        <f aca="false">ROUND(J41*(I38/I41),0)</f>
        <v>16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customFormat="false" ht="15" hidden="false" customHeight="true" outlineLevel="0" collapsed="false">
      <c r="A39" s="1"/>
      <c r="B39" s="30" t="s">
        <v>14</v>
      </c>
      <c r="C39" s="31" t="s">
        <v>75</v>
      </c>
      <c r="D39" s="32" t="n">
        <v>4.5</v>
      </c>
      <c r="E39" s="33" t="n">
        <f aca="false">D39*2</f>
        <v>9</v>
      </c>
      <c r="F39" s="31" t="s">
        <v>69</v>
      </c>
      <c r="G39" s="32" t="n">
        <v>4.32135</v>
      </c>
      <c r="H39" s="32" t="n">
        <v>0.5</v>
      </c>
      <c r="I39" s="34" t="n">
        <f aca="false">E39+G39+H39</f>
        <v>13.82135</v>
      </c>
      <c r="J39" s="35" t="n">
        <f aca="false">ROUND(J41*(I39/I41),0)</f>
        <v>17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customFormat="false" ht="15" hidden="false" customHeight="true" outlineLevel="0" collapsed="false">
      <c r="A40" s="1"/>
      <c r="B40" s="30" t="s">
        <v>40</v>
      </c>
      <c r="C40" s="31" t="s">
        <v>81</v>
      </c>
      <c r="D40" s="32" t="n">
        <v>10</v>
      </c>
      <c r="E40" s="33" t="n">
        <f aca="false">D40*2</f>
        <v>20</v>
      </c>
      <c r="F40" s="31" t="s">
        <v>69</v>
      </c>
      <c r="G40" s="32" t="n">
        <v>4.32135</v>
      </c>
      <c r="H40" s="32" t="n">
        <v>0.5</v>
      </c>
      <c r="I40" s="34" t="n">
        <f aca="false">E40+G40+H40</f>
        <v>24.82135</v>
      </c>
      <c r="J40" s="35" t="n">
        <f aca="false">J41-(J37+J38+J39)</f>
        <v>32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customFormat="false" ht="15" hidden="false" customHeight="true" outlineLevel="0" collapsed="false">
      <c r="A41" s="1"/>
      <c r="B41" s="36" t="s">
        <v>11</v>
      </c>
      <c r="C41" s="37"/>
      <c r="D41" s="37"/>
      <c r="E41" s="37"/>
      <c r="F41" s="37"/>
      <c r="G41" s="37"/>
      <c r="H41" s="38" t="s">
        <v>73</v>
      </c>
      <c r="I41" s="39" t="n">
        <f aca="false">SUM(I37:I40)</f>
        <v>67.1978</v>
      </c>
      <c r="J41" s="40" t="n">
        <v>85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customFormat="false" ht="15" hidden="false" customHeight="true" outlineLevel="0" collapsed="false">
      <c r="A42" s="1"/>
      <c r="B42" s="1"/>
      <c r="C42" s="1"/>
      <c r="D42" s="1"/>
      <c r="E42" s="1"/>
      <c r="F42" s="1"/>
      <c r="G42" s="1"/>
      <c r="H42" s="22" t="s">
        <v>51</v>
      </c>
      <c r="I42" s="23" t="n">
        <f aca="false">(J41-I41)/J41</f>
        <v>0.209437647058824</v>
      </c>
      <c r="J42" s="24" t="n">
        <f aca="false">J41-I41</f>
        <v>17.8022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customFormat="false" ht="24" hidden="false" customHeight="true" outlineLevel="0" collapsed="false">
      <c r="A44" s="1"/>
      <c r="B44" s="29" t="s">
        <v>82</v>
      </c>
      <c r="C44" s="29"/>
      <c r="D44" s="29"/>
      <c r="E44" s="29"/>
      <c r="F44" s="29"/>
      <c r="G44" s="29"/>
      <c r="H44" s="29"/>
      <c r="I44" s="29"/>
      <c r="J44" s="29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customFormat="false" ht="15" hidden="false" customHeight="true" outlineLevel="0" collapsed="false">
      <c r="A45" s="1"/>
      <c r="B45" s="30" t="s">
        <v>83</v>
      </c>
      <c r="C45" s="31" t="s">
        <v>84</v>
      </c>
      <c r="D45" s="32" t="n">
        <v>6.2</v>
      </c>
      <c r="E45" s="33" t="n">
        <f aca="false">D45*2</f>
        <v>12.4</v>
      </c>
      <c r="F45" s="31" t="s">
        <v>69</v>
      </c>
      <c r="G45" s="32" t="n">
        <v>4.32135</v>
      </c>
      <c r="H45" s="32" t="n">
        <v>0.5</v>
      </c>
      <c r="I45" s="34" t="n">
        <f aca="false">E45+G45+H45</f>
        <v>17.22135</v>
      </c>
      <c r="J45" s="35" t="n">
        <f aca="false">ROUND(J48*(I45/I48),0)</f>
        <v>22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customFormat="false" ht="15" hidden="false" customHeight="true" outlineLevel="0" collapsed="false">
      <c r="A46" s="1"/>
      <c r="B46" s="30" t="s">
        <v>70</v>
      </c>
      <c r="C46" s="31" t="s">
        <v>71</v>
      </c>
      <c r="D46" s="32" t="n">
        <v>5.89</v>
      </c>
      <c r="E46" s="33" t="n">
        <f aca="false">D46*2</f>
        <v>11.78</v>
      </c>
      <c r="F46" s="31" t="s">
        <v>72</v>
      </c>
      <c r="G46" s="32" t="n">
        <v>0.67375</v>
      </c>
      <c r="H46" s="32" t="n">
        <v>0.5</v>
      </c>
      <c r="I46" s="34" t="n">
        <f aca="false">E46+G46+H46</f>
        <v>12.95375</v>
      </c>
      <c r="J46" s="35" t="n">
        <f aca="false">ROUND(J48*(I46/I48),0)</f>
        <v>16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customFormat="false" ht="15" hidden="false" customHeight="true" outlineLevel="0" collapsed="false">
      <c r="A47" s="1"/>
      <c r="B47" s="30" t="s">
        <v>14</v>
      </c>
      <c r="C47" s="31" t="s">
        <v>75</v>
      </c>
      <c r="D47" s="32" t="n">
        <v>4.5</v>
      </c>
      <c r="E47" s="33" t="n">
        <f aca="false">D47*2</f>
        <v>9</v>
      </c>
      <c r="F47" s="31" t="s">
        <v>69</v>
      </c>
      <c r="G47" s="32" t="n">
        <v>4.32135</v>
      </c>
      <c r="H47" s="32" t="n">
        <v>0.5</v>
      </c>
      <c r="I47" s="34" t="n">
        <f aca="false">E47+G47+H47</f>
        <v>13.82135</v>
      </c>
      <c r="J47" s="35" t="n">
        <f aca="false">J48-(J45+J46)</f>
        <v>17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customFormat="false" ht="15" hidden="false" customHeight="true" outlineLevel="0" collapsed="false">
      <c r="A48" s="1"/>
      <c r="B48" s="36" t="s">
        <v>11</v>
      </c>
      <c r="C48" s="37"/>
      <c r="D48" s="37"/>
      <c r="E48" s="37"/>
      <c r="F48" s="37"/>
      <c r="G48" s="37"/>
      <c r="H48" s="38" t="s">
        <v>73</v>
      </c>
      <c r="I48" s="39" t="n">
        <f aca="false">SUM(I45:I47)</f>
        <v>43.99645</v>
      </c>
      <c r="J48" s="40" t="n">
        <v>55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customFormat="false" ht="15" hidden="false" customHeight="true" outlineLevel="0" collapsed="false">
      <c r="A49" s="1"/>
      <c r="B49" s="1"/>
      <c r="C49" s="1"/>
      <c r="D49" s="1"/>
      <c r="E49" s="1"/>
      <c r="F49" s="1"/>
      <c r="G49" s="1"/>
      <c r="H49" s="22" t="s">
        <v>51</v>
      </c>
      <c r="I49" s="23" t="n">
        <f aca="false">(J48-I48)/J48</f>
        <v>0.200064545454546</v>
      </c>
      <c r="J49" s="24" t="n">
        <f aca="false">J48-I48</f>
        <v>11.00355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customFormat="false" ht="24" hidden="false" customHeight="true" outlineLevel="0" collapsed="false">
      <c r="A51" s="1"/>
      <c r="B51" s="29" t="s">
        <v>85</v>
      </c>
      <c r="C51" s="29"/>
      <c r="D51" s="29"/>
      <c r="E51" s="29"/>
      <c r="F51" s="29"/>
      <c r="G51" s="29"/>
      <c r="H51" s="29"/>
      <c r="I51" s="29"/>
      <c r="J51" s="29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customFormat="false" ht="15" hidden="false" customHeight="true" outlineLevel="0" collapsed="false">
      <c r="A52" s="1"/>
      <c r="B52" s="30" t="s">
        <v>67</v>
      </c>
      <c r="C52" s="31" t="s">
        <v>68</v>
      </c>
      <c r="D52" s="32" t="n">
        <v>5.39</v>
      </c>
      <c r="E52" s="33" t="n">
        <f aca="false">D52*2</f>
        <v>10.78</v>
      </c>
      <c r="F52" s="31" t="s">
        <v>69</v>
      </c>
      <c r="G52" s="32" t="n">
        <v>4.32135</v>
      </c>
      <c r="H52" s="32" t="n">
        <v>0.5</v>
      </c>
      <c r="I52" s="34" t="n">
        <f aca="false">E52+G52+H52</f>
        <v>15.60135</v>
      </c>
      <c r="J52" s="35" t="n">
        <f aca="false">ROUND(J57*(I52/I57),0)</f>
        <v>19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customFormat="false" ht="15" hidden="false" customHeight="true" outlineLevel="0" collapsed="false">
      <c r="A53" s="1"/>
      <c r="B53" s="30" t="s">
        <v>70</v>
      </c>
      <c r="C53" s="31" t="s">
        <v>71</v>
      </c>
      <c r="D53" s="32" t="n">
        <v>5.89</v>
      </c>
      <c r="E53" s="33" t="n">
        <f aca="false">D53*2</f>
        <v>11.78</v>
      </c>
      <c r="F53" s="31" t="s">
        <v>72</v>
      </c>
      <c r="G53" s="32" t="n">
        <v>0.67375</v>
      </c>
      <c r="H53" s="32" t="n">
        <v>0.5</v>
      </c>
      <c r="I53" s="34" t="n">
        <f aca="false">E53+G53+H53</f>
        <v>12.95375</v>
      </c>
      <c r="J53" s="35" t="n">
        <f aca="false">ROUND(J57*(I53/I57),0)</f>
        <v>16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customFormat="false" ht="15" hidden="false" customHeight="true" outlineLevel="0" collapsed="false">
      <c r="A54" s="1"/>
      <c r="B54" s="30" t="s">
        <v>14</v>
      </c>
      <c r="C54" s="31" t="s">
        <v>75</v>
      </c>
      <c r="D54" s="32" t="n">
        <v>4.5</v>
      </c>
      <c r="E54" s="33" t="n">
        <f aca="false">D54*2</f>
        <v>9</v>
      </c>
      <c r="F54" s="31" t="s">
        <v>69</v>
      </c>
      <c r="G54" s="32" t="n">
        <v>4.32135</v>
      </c>
      <c r="H54" s="32" t="n">
        <v>0.5</v>
      </c>
      <c r="I54" s="34" t="n">
        <f aca="false">E54+G54+H54</f>
        <v>13.82135</v>
      </c>
      <c r="J54" s="35" t="n">
        <f aca="false">ROUND(J57*(I54/I57),0)</f>
        <v>17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customFormat="false" ht="15" hidden="false" customHeight="true" outlineLevel="0" collapsed="false">
      <c r="A55" s="1"/>
      <c r="B55" s="30" t="s">
        <v>22</v>
      </c>
      <c r="C55" s="31" t="s">
        <v>86</v>
      </c>
      <c r="D55" s="32" t="n">
        <v>12</v>
      </c>
      <c r="E55" s="33" t="n">
        <f aca="false">D55*2</f>
        <v>24</v>
      </c>
      <c r="F55" s="31" t="s">
        <v>69</v>
      </c>
      <c r="G55" s="32" t="n">
        <v>4.32135</v>
      </c>
      <c r="H55" s="32" t="n">
        <v>0.5</v>
      </c>
      <c r="I55" s="34" t="n">
        <f aca="false">E55+G55+H55</f>
        <v>28.82135</v>
      </c>
      <c r="J55" s="35" t="n">
        <f aca="false">ROUND(J57*(I55/I57),0)</f>
        <v>36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customFormat="false" ht="15" hidden="false" customHeight="true" outlineLevel="0" collapsed="false">
      <c r="A56" s="1"/>
      <c r="B56" s="30" t="s">
        <v>24</v>
      </c>
      <c r="C56" s="31" t="s">
        <v>87</v>
      </c>
      <c r="D56" s="32" t="n">
        <v>12</v>
      </c>
      <c r="E56" s="33" t="n">
        <f aca="false">D56*2</f>
        <v>24</v>
      </c>
      <c r="F56" s="31" t="s">
        <v>69</v>
      </c>
      <c r="G56" s="32" t="n">
        <v>4.32135</v>
      </c>
      <c r="H56" s="32" t="n">
        <v>0.5</v>
      </c>
      <c r="I56" s="34" t="n">
        <f aca="false">E56+G56+H56</f>
        <v>28.82135</v>
      </c>
      <c r="J56" s="35" t="n">
        <f aca="false">J57-(J52+J53+J54+J55)</f>
        <v>37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customFormat="false" ht="15" hidden="false" customHeight="true" outlineLevel="0" collapsed="false">
      <c r="A57" s="1"/>
      <c r="B57" s="36" t="s">
        <v>11</v>
      </c>
      <c r="C57" s="37"/>
      <c r="D57" s="37"/>
      <c r="E57" s="37"/>
      <c r="F57" s="37"/>
      <c r="G57" s="37"/>
      <c r="H57" s="38" t="s">
        <v>73</v>
      </c>
      <c r="I57" s="39" t="n">
        <f aca="false">SUM(I52:I56)</f>
        <v>100.01915</v>
      </c>
      <c r="J57" s="40" t="n">
        <v>125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customFormat="false" ht="15" hidden="false" customHeight="true" outlineLevel="0" collapsed="false">
      <c r="A58" s="1"/>
      <c r="B58" s="1"/>
      <c r="C58" s="1"/>
      <c r="D58" s="1"/>
      <c r="E58" s="1"/>
      <c r="F58" s="1"/>
      <c r="G58" s="1"/>
      <c r="H58" s="22" t="s">
        <v>51</v>
      </c>
      <c r="I58" s="23" t="n">
        <f aca="false">(J57-I57)/J57</f>
        <v>0.1998468</v>
      </c>
      <c r="J58" s="24" t="n">
        <f aca="false">J57-I57</f>
        <v>24.98085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customFormat="false" ht="24" hidden="false" customHeight="true" outlineLevel="0" collapsed="false">
      <c r="A60" s="1"/>
      <c r="B60" s="29" t="s">
        <v>88</v>
      </c>
      <c r="C60" s="29"/>
      <c r="D60" s="29"/>
      <c r="E60" s="29"/>
      <c r="F60" s="29"/>
      <c r="G60" s="29"/>
      <c r="H60" s="29"/>
      <c r="I60" s="29"/>
      <c r="J60" s="29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customFormat="false" ht="15" hidden="false" customHeight="true" outlineLevel="0" collapsed="false">
      <c r="A61" s="1"/>
      <c r="B61" s="30" t="s">
        <v>67</v>
      </c>
      <c r="C61" s="31" t="s">
        <v>68</v>
      </c>
      <c r="D61" s="32" t="n">
        <v>5.39</v>
      </c>
      <c r="E61" s="33" t="n">
        <f aca="false">D61*2</f>
        <v>10.78</v>
      </c>
      <c r="F61" s="31" t="s">
        <v>69</v>
      </c>
      <c r="G61" s="32" t="n">
        <v>4.32135</v>
      </c>
      <c r="H61" s="32" t="n">
        <v>0.5</v>
      </c>
      <c r="I61" s="34" t="n">
        <f aca="false">E61+G61+H61</f>
        <v>15.60135</v>
      </c>
      <c r="J61" s="35" t="n">
        <f aca="false">ROUND(J67*(I61/I67),0)</f>
        <v>20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customFormat="false" ht="15" hidden="false" customHeight="true" outlineLevel="0" collapsed="false">
      <c r="A62" s="1"/>
      <c r="B62" s="30" t="s">
        <v>70</v>
      </c>
      <c r="C62" s="31" t="s">
        <v>71</v>
      </c>
      <c r="D62" s="32" t="n">
        <v>5.89</v>
      </c>
      <c r="E62" s="33" t="n">
        <f aca="false">D62*2</f>
        <v>11.78</v>
      </c>
      <c r="F62" s="31" t="s">
        <v>72</v>
      </c>
      <c r="G62" s="32" t="n">
        <v>0.67375</v>
      </c>
      <c r="H62" s="32" t="n">
        <v>0.5</v>
      </c>
      <c r="I62" s="34" t="n">
        <f aca="false">E62+G62+H62</f>
        <v>12.95375</v>
      </c>
      <c r="J62" s="35" t="n">
        <f aca="false">ROUND(J67*(I62/I67),0)</f>
        <v>17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customFormat="false" ht="15" hidden="false" customHeight="true" outlineLevel="0" collapsed="false">
      <c r="A63" s="1"/>
      <c r="B63" s="30" t="s">
        <v>14</v>
      </c>
      <c r="C63" s="31" t="s">
        <v>75</v>
      </c>
      <c r="D63" s="32" t="n">
        <v>4.5</v>
      </c>
      <c r="E63" s="33" t="n">
        <f aca="false">D63*2</f>
        <v>9</v>
      </c>
      <c r="F63" s="31" t="s">
        <v>69</v>
      </c>
      <c r="G63" s="32" t="n">
        <v>4.32135</v>
      </c>
      <c r="H63" s="32" t="n">
        <v>0.5</v>
      </c>
      <c r="I63" s="34" t="n">
        <f aca="false">E63+G63+H63</f>
        <v>13.82135</v>
      </c>
      <c r="J63" s="35" t="n">
        <f aca="false">ROUND(J67*(I63/I67),0)</f>
        <v>18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customFormat="false" ht="15" hidden="false" customHeight="true" outlineLevel="0" collapsed="false">
      <c r="A64" s="1"/>
      <c r="B64" s="30" t="s">
        <v>21</v>
      </c>
      <c r="C64" s="31" t="s">
        <v>75</v>
      </c>
      <c r="D64" s="32" t="n">
        <v>6</v>
      </c>
      <c r="E64" s="33" t="n">
        <f aca="false">D64*2</f>
        <v>12</v>
      </c>
      <c r="F64" s="31" t="s">
        <v>69</v>
      </c>
      <c r="G64" s="32" t="n">
        <v>4.32135</v>
      </c>
      <c r="H64" s="32" t="n">
        <v>0.5</v>
      </c>
      <c r="I64" s="34" t="n">
        <f aca="false">E64+G64+H64</f>
        <v>16.82135</v>
      </c>
      <c r="J64" s="35" t="n">
        <f aca="false">ROUND(J67*(I64/I67),0)</f>
        <v>22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customFormat="false" ht="15" hidden="false" customHeight="true" outlineLevel="0" collapsed="false">
      <c r="A65" s="1"/>
      <c r="B65" s="30" t="s">
        <v>22</v>
      </c>
      <c r="C65" s="31" t="s">
        <v>86</v>
      </c>
      <c r="D65" s="32" t="n">
        <v>12</v>
      </c>
      <c r="E65" s="33" t="n">
        <f aca="false">D65*2</f>
        <v>24</v>
      </c>
      <c r="F65" s="31" t="s">
        <v>69</v>
      </c>
      <c r="G65" s="32" t="n">
        <v>4.32135</v>
      </c>
      <c r="H65" s="32" t="n">
        <v>0.5</v>
      </c>
      <c r="I65" s="34" t="n">
        <f aca="false">E65+G65+H65</f>
        <v>28.82135</v>
      </c>
      <c r="J65" s="35" t="n">
        <f aca="false">ROUND(J67*(I65/I67),0)</f>
        <v>37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customFormat="false" ht="15" hidden="false" customHeight="true" outlineLevel="0" collapsed="false">
      <c r="A66" s="1"/>
      <c r="B66" s="30" t="s">
        <v>24</v>
      </c>
      <c r="C66" s="31" t="s">
        <v>87</v>
      </c>
      <c r="D66" s="32" t="n">
        <v>12</v>
      </c>
      <c r="E66" s="33" t="n">
        <f aca="false">D66*2</f>
        <v>24</v>
      </c>
      <c r="F66" s="31" t="s">
        <v>69</v>
      </c>
      <c r="G66" s="32" t="n">
        <v>4.32135</v>
      </c>
      <c r="H66" s="32" t="n">
        <v>0.5</v>
      </c>
      <c r="I66" s="34" t="n">
        <f aca="false">E66+G66+H66</f>
        <v>28.82135</v>
      </c>
      <c r="J66" s="35" t="n">
        <f aca="false">J67-(J61+J62+J63+J64+J65)</f>
        <v>36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customFormat="false" ht="15" hidden="false" customHeight="true" outlineLevel="0" collapsed="false">
      <c r="A67" s="1"/>
      <c r="B67" s="36" t="s">
        <v>11</v>
      </c>
      <c r="C67" s="37"/>
      <c r="D67" s="37"/>
      <c r="E67" s="37"/>
      <c r="F67" s="37"/>
      <c r="G67" s="37"/>
      <c r="H67" s="38" t="s">
        <v>73</v>
      </c>
      <c r="I67" s="39" t="n">
        <f aca="false">SUM(I61:I66)</f>
        <v>116.8405</v>
      </c>
      <c r="J67" s="40" t="n">
        <v>150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customFormat="false" ht="15" hidden="false" customHeight="true" outlineLevel="0" collapsed="false">
      <c r="A68" s="1"/>
      <c r="B68" s="1"/>
      <c r="C68" s="1"/>
      <c r="D68" s="1"/>
      <c r="E68" s="1"/>
      <c r="F68" s="1"/>
      <c r="G68" s="1"/>
      <c r="H68" s="22" t="s">
        <v>51</v>
      </c>
      <c r="I68" s="23" t="n">
        <f aca="false">(J67-I67)/J67</f>
        <v>0.221063333333333</v>
      </c>
      <c r="J68" s="24" t="n">
        <f aca="false">J67-I67</f>
        <v>33.1595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customFormat="false" ht="24" hidden="false" customHeight="true" outlineLevel="0" collapsed="false">
      <c r="A70" s="1"/>
      <c r="B70" s="41" t="s">
        <v>89</v>
      </c>
      <c r="C70" s="41"/>
      <c r="D70" s="41"/>
      <c r="E70" s="41"/>
      <c r="F70" s="41"/>
      <c r="G70" s="41"/>
      <c r="H70" s="41"/>
      <c r="I70" s="41"/>
      <c r="J70" s="4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customFormat="false" ht="24" hidden="false" customHeight="true" outlineLevel="0" collapsed="false">
      <c r="A72" s="1"/>
      <c r="B72" s="41" t="s">
        <v>90</v>
      </c>
      <c r="C72" s="41"/>
      <c r="D72" s="41"/>
      <c r="E72" s="41"/>
      <c r="F72" s="41"/>
      <c r="G72" s="41"/>
      <c r="H72" s="41"/>
      <c r="I72" s="41"/>
      <c r="J72" s="4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customFormat="false" ht="15" hidden="false" customHeight="true" outlineLevel="0" collapsed="false">
      <c r="A73" s="1"/>
      <c r="B73" s="30" t="s">
        <v>67</v>
      </c>
      <c r="C73" s="31" t="s">
        <v>68</v>
      </c>
      <c r="D73" s="32" t="n">
        <v>5.39</v>
      </c>
      <c r="E73" s="33" t="n">
        <f aca="false">D73*2</f>
        <v>10.78</v>
      </c>
      <c r="F73" s="31" t="s">
        <v>69</v>
      </c>
      <c r="G73" s="32" t="n">
        <v>4.32135</v>
      </c>
      <c r="H73" s="32" t="n">
        <v>0.5</v>
      </c>
      <c r="I73" s="34" t="n">
        <f aca="false">E73+G73+H73</f>
        <v>15.60135</v>
      </c>
      <c r="J73" s="35" t="n">
        <f aca="false">ROUND(J75*(I73/I75),0)</f>
        <v>22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customFormat="false" ht="15" hidden="false" customHeight="true" outlineLevel="0" collapsed="false">
      <c r="A74" s="1"/>
      <c r="B74" s="30" t="s">
        <v>70</v>
      </c>
      <c r="C74" s="31" t="s">
        <v>71</v>
      </c>
      <c r="D74" s="32" t="n">
        <v>5.89</v>
      </c>
      <c r="E74" s="33" t="n">
        <f aca="false">D74*2</f>
        <v>11.78</v>
      </c>
      <c r="F74" s="31" t="s">
        <v>72</v>
      </c>
      <c r="G74" s="32" t="n">
        <v>0.67375</v>
      </c>
      <c r="H74" s="32" t="n">
        <v>0.5</v>
      </c>
      <c r="I74" s="34" t="n">
        <f aca="false">E74+G74+H74</f>
        <v>12.95375</v>
      </c>
      <c r="J74" s="35" t="n">
        <f aca="false">J75-(J73)</f>
        <v>18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customFormat="false" ht="15" hidden="false" customHeight="true" outlineLevel="0" collapsed="false">
      <c r="A75" s="1"/>
      <c r="B75" s="36" t="s">
        <v>11</v>
      </c>
      <c r="C75" s="37"/>
      <c r="D75" s="37"/>
      <c r="E75" s="37"/>
      <c r="F75" s="37"/>
      <c r="G75" s="37"/>
      <c r="H75" s="38" t="s">
        <v>73</v>
      </c>
      <c r="I75" s="39" t="n">
        <f aca="false">SUM(I73:I74)</f>
        <v>28.5551</v>
      </c>
      <c r="J75" s="40" t="n">
        <v>40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customFormat="false" ht="15" hidden="false" customHeight="true" outlineLevel="0" collapsed="false">
      <c r="A76" s="1"/>
      <c r="B76" s="1"/>
      <c r="C76" s="1"/>
      <c r="D76" s="1"/>
      <c r="E76" s="1"/>
      <c r="F76" s="1"/>
      <c r="G76" s="1"/>
      <c r="H76" s="22" t="s">
        <v>51</v>
      </c>
      <c r="I76" s="23" t="n">
        <f aca="false">(J75-I75)/J75</f>
        <v>0.2861225</v>
      </c>
      <c r="J76" s="24" t="n">
        <f aca="false">J75-I75</f>
        <v>11.4449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customFormat="false" ht="24" hidden="false" customHeight="true" outlineLevel="0" collapsed="false">
      <c r="A78" s="1"/>
      <c r="B78" s="41" t="s">
        <v>91</v>
      </c>
      <c r="C78" s="41"/>
      <c r="D78" s="41"/>
      <c r="E78" s="41"/>
      <c r="F78" s="41"/>
      <c r="G78" s="41"/>
      <c r="H78" s="41"/>
      <c r="I78" s="41"/>
      <c r="J78" s="4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customFormat="false" ht="15" hidden="false" customHeight="true" outlineLevel="0" collapsed="false">
      <c r="A79" s="1"/>
      <c r="B79" s="30" t="s">
        <v>67</v>
      </c>
      <c r="C79" s="31" t="s">
        <v>68</v>
      </c>
      <c r="D79" s="32" t="n">
        <v>5.39</v>
      </c>
      <c r="E79" s="33" t="n">
        <f aca="false">D79*2</f>
        <v>10.78</v>
      </c>
      <c r="F79" s="31" t="s">
        <v>69</v>
      </c>
      <c r="G79" s="32" t="n">
        <v>4.32135</v>
      </c>
      <c r="H79" s="32" t="n">
        <v>0.5</v>
      </c>
      <c r="I79" s="34" t="n">
        <f aca="false">E79+G79+H79</f>
        <v>15.60135</v>
      </c>
      <c r="J79" s="35" t="n">
        <f aca="false">ROUND(J82*(I79/I82),0)</f>
        <v>20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customFormat="false" ht="15" hidden="false" customHeight="true" outlineLevel="0" collapsed="false">
      <c r="A80" s="1"/>
      <c r="B80" s="30" t="s">
        <v>70</v>
      </c>
      <c r="C80" s="31" t="s">
        <v>71</v>
      </c>
      <c r="D80" s="32" t="n">
        <v>5.89</v>
      </c>
      <c r="E80" s="33" t="n">
        <f aca="false">D80*2</f>
        <v>11.78</v>
      </c>
      <c r="F80" s="31" t="s">
        <v>72</v>
      </c>
      <c r="G80" s="32" t="n">
        <v>0.67375</v>
      </c>
      <c r="H80" s="32" t="n">
        <v>0.5</v>
      </c>
      <c r="I80" s="34" t="n">
        <f aca="false">E80+G80+H80</f>
        <v>12.95375</v>
      </c>
      <c r="J80" s="35" t="n">
        <f aca="false">ROUND(J82*(I80/I82),0)</f>
        <v>17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customFormat="false" ht="15" hidden="false" customHeight="true" outlineLevel="0" collapsed="false">
      <c r="A81" s="1"/>
      <c r="B81" s="30" t="s">
        <v>14</v>
      </c>
      <c r="C81" s="31" t="s">
        <v>75</v>
      </c>
      <c r="D81" s="32" t="n">
        <v>4.5</v>
      </c>
      <c r="E81" s="33" t="n">
        <f aca="false">D81*2</f>
        <v>9</v>
      </c>
      <c r="F81" s="31" t="s">
        <v>69</v>
      </c>
      <c r="G81" s="32" t="n">
        <v>4.32135</v>
      </c>
      <c r="H81" s="32" t="n">
        <v>0.5</v>
      </c>
      <c r="I81" s="34" t="n">
        <f aca="false">E81+G81+H81</f>
        <v>13.82135</v>
      </c>
      <c r="J81" s="35" t="n">
        <f aca="false">J82-(J79+J80)</f>
        <v>18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customFormat="false" ht="15" hidden="false" customHeight="true" outlineLevel="0" collapsed="false">
      <c r="A82" s="1"/>
      <c r="B82" s="36" t="s">
        <v>11</v>
      </c>
      <c r="C82" s="37"/>
      <c r="D82" s="37"/>
      <c r="E82" s="37"/>
      <c r="F82" s="37"/>
      <c r="G82" s="37"/>
      <c r="H82" s="38" t="s">
        <v>73</v>
      </c>
      <c r="I82" s="39" t="n">
        <f aca="false">SUM(I79:I81)</f>
        <v>42.37645</v>
      </c>
      <c r="J82" s="40" t="n">
        <v>55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customFormat="false" ht="15" hidden="false" customHeight="true" outlineLevel="0" collapsed="false">
      <c r="A83" s="1"/>
      <c r="B83" s="1"/>
      <c r="C83" s="1"/>
      <c r="D83" s="1"/>
      <c r="E83" s="1"/>
      <c r="F83" s="1"/>
      <c r="G83" s="1"/>
      <c r="H83" s="22" t="s">
        <v>51</v>
      </c>
      <c r="I83" s="23" t="n">
        <f aca="false">(J82-I82)/J82</f>
        <v>0.229519090909091</v>
      </c>
      <c r="J83" s="24" t="n">
        <f aca="false">J82-I82</f>
        <v>12.62355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customFormat="false" ht="24" hidden="false" customHeight="true" outlineLevel="0" collapsed="false">
      <c r="A85" s="1"/>
      <c r="B85" s="41" t="s">
        <v>92</v>
      </c>
      <c r="C85" s="41"/>
      <c r="D85" s="41"/>
      <c r="E85" s="41"/>
      <c r="F85" s="41"/>
      <c r="G85" s="41"/>
      <c r="H85" s="41"/>
      <c r="I85" s="41"/>
      <c r="J85" s="4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customFormat="false" ht="15" hidden="false" customHeight="true" outlineLevel="0" collapsed="false">
      <c r="A86" s="1"/>
      <c r="B86" s="30" t="s">
        <v>67</v>
      </c>
      <c r="C86" s="31" t="s">
        <v>68</v>
      </c>
      <c r="D86" s="32" t="n">
        <v>5.39</v>
      </c>
      <c r="E86" s="33" t="n">
        <f aca="false">D86*2</f>
        <v>10.78</v>
      </c>
      <c r="F86" s="31" t="s">
        <v>69</v>
      </c>
      <c r="G86" s="32" t="n">
        <v>4.32135</v>
      </c>
      <c r="H86" s="32" t="n">
        <v>0.5</v>
      </c>
      <c r="I86" s="34" t="n">
        <f aca="false">E86+G86+H86</f>
        <v>15.60135</v>
      </c>
      <c r="J86" s="35" t="n">
        <f aca="false">ROUND(J90*(I86/I90),0)</f>
        <v>20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customFormat="false" ht="15" hidden="false" customHeight="true" outlineLevel="0" collapsed="false">
      <c r="A87" s="1"/>
      <c r="B87" s="30" t="s">
        <v>70</v>
      </c>
      <c r="C87" s="31" t="s">
        <v>71</v>
      </c>
      <c r="D87" s="32" t="n">
        <v>5.89</v>
      </c>
      <c r="E87" s="33" t="n">
        <f aca="false">D87*2</f>
        <v>11.78</v>
      </c>
      <c r="F87" s="31" t="s">
        <v>72</v>
      </c>
      <c r="G87" s="32" t="n">
        <v>0.67375</v>
      </c>
      <c r="H87" s="32" t="n">
        <v>0.5</v>
      </c>
      <c r="I87" s="34" t="n">
        <f aca="false">E87+G87+H87</f>
        <v>12.95375</v>
      </c>
      <c r="J87" s="35" t="n">
        <f aca="false">ROUND(J90*(I87/I90),0)</f>
        <v>17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customFormat="false" ht="15" hidden="false" customHeight="true" outlineLevel="0" collapsed="false">
      <c r="A88" s="1"/>
      <c r="B88" s="30" t="s">
        <v>14</v>
      </c>
      <c r="C88" s="31" t="s">
        <v>75</v>
      </c>
      <c r="D88" s="32" t="n">
        <v>4.5</v>
      </c>
      <c r="E88" s="33" t="n">
        <f aca="false">D88*2</f>
        <v>9</v>
      </c>
      <c r="F88" s="31" t="s">
        <v>69</v>
      </c>
      <c r="G88" s="32" t="n">
        <v>4.32135</v>
      </c>
      <c r="H88" s="32" t="n">
        <v>0.5</v>
      </c>
      <c r="I88" s="34" t="n">
        <f aca="false">E88+G88+H88</f>
        <v>13.82135</v>
      </c>
      <c r="J88" s="35" t="n">
        <f aca="false">ROUND(J90*(I88/I90),0)</f>
        <v>18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customFormat="false" ht="15" hidden="false" customHeight="true" outlineLevel="0" collapsed="false">
      <c r="A89" s="1"/>
      <c r="B89" s="30" t="s">
        <v>17</v>
      </c>
      <c r="C89" s="31" t="s">
        <v>93</v>
      </c>
      <c r="D89" s="32" t="n">
        <v>7</v>
      </c>
      <c r="E89" s="33" t="n">
        <f aca="false">D89*2</f>
        <v>14</v>
      </c>
      <c r="F89" s="31" t="s">
        <v>72</v>
      </c>
      <c r="G89" s="32" t="n">
        <v>0.67375</v>
      </c>
      <c r="H89" s="32" t="n">
        <v>0.5</v>
      </c>
      <c r="I89" s="34" t="n">
        <f aca="false">E89+G89+H89</f>
        <v>15.17375</v>
      </c>
      <c r="J89" s="35" t="n">
        <f aca="false">J90-(J86+J87+J88)</f>
        <v>20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customFormat="false" ht="15" hidden="false" customHeight="true" outlineLevel="0" collapsed="false">
      <c r="A90" s="1"/>
      <c r="B90" s="36" t="s">
        <v>11</v>
      </c>
      <c r="C90" s="37"/>
      <c r="D90" s="37"/>
      <c r="E90" s="37"/>
      <c r="F90" s="37"/>
      <c r="G90" s="37"/>
      <c r="H90" s="38" t="s">
        <v>73</v>
      </c>
      <c r="I90" s="39" t="n">
        <f aca="false">SUM(I86:I89)</f>
        <v>57.5502</v>
      </c>
      <c r="J90" s="40" t="n">
        <v>75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customFormat="false" ht="15" hidden="false" customHeight="true" outlineLevel="0" collapsed="false">
      <c r="A91" s="1"/>
      <c r="B91" s="1"/>
      <c r="C91" s="1"/>
      <c r="D91" s="1"/>
      <c r="E91" s="1"/>
      <c r="F91" s="1"/>
      <c r="G91" s="1"/>
      <c r="H91" s="22" t="s">
        <v>51</v>
      </c>
      <c r="I91" s="23" t="n">
        <f aca="false">(J90-I90)/J90</f>
        <v>0.232664</v>
      </c>
      <c r="J91" s="24" t="n">
        <f aca="false">J90-I90</f>
        <v>17.4498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</sheetData>
  <mergeCells count="15">
    <mergeCell ref="B2:J2"/>
    <mergeCell ref="B3:J3"/>
    <mergeCell ref="B4:J4"/>
    <mergeCell ref="B8:J8"/>
    <mergeCell ref="B14:J14"/>
    <mergeCell ref="B21:J21"/>
    <mergeCell ref="B28:J28"/>
    <mergeCell ref="B36:J36"/>
    <mergeCell ref="B44:J44"/>
    <mergeCell ref="B51:J51"/>
    <mergeCell ref="B60:J60"/>
    <mergeCell ref="B70:J70"/>
    <mergeCell ref="B72:J72"/>
    <mergeCell ref="B78:J78"/>
    <mergeCell ref="B85:J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3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36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7.25" hidden="false" customHeight="true" outlineLevel="0" collapsed="false">
      <c r="A2" s="1"/>
      <c r="B2" s="25" t="s">
        <v>94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1"/>
      <c r="B3" s="26" t="s">
        <v>95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31.5" hidden="false" customHeight="true" outlineLevel="0" collapsed="false">
      <c r="A5" s="1"/>
      <c r="B5" s="28" t="s">
        <v>58</v>
      </c>
      <c r="C5" s="28" t="s">
        <v>3</v>
      </c>
      <c r="D5" s="28" t="s">
        <v>59</v>
      </c>
      <c r="E5" s="28" t="s">
        <v>60</v>
      </c>
      <c r="F5" s="28" t="s">
        <v>61</v>
      </c>
      <c r="G5" s="28" t="s">
        <v>62</v>
      </c>
      <c r="H5" s="28" t="s">
        <v>63</v>
      </c>
      <c r="I5" s="28" t="s">
        <v>64</v>
      </c>
      <c r="J5" s="28" t="s">
        <v>65</v>
      </c>
      <c r="K5" s="28" t="s">
        <v>5</v>
      </c>
      <c r="L5" s="28" t="s">
        <v>96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24" hidden="false" customHeight="true" outlineLevel="0" collapsed="false">
      <c r="A7" s="1"/>
      <c r="B7" s="29" t="s">
        <v>66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"/>
      <c r="B8" s="30" t="s">
        <v>97</v>
      </c>
      <c r="C8" s="31" t="s">
        <v>98</v>
      </c>
      <c r="D8" s="32" t="n">
        <v>9.23</v>
      </c>
      <c r="E8" s="33" t="n">
        <f aca="false">D8*2</f>
        <v>18.46</v>
      </c>
      <c r="F8" s="31" t="s">
        <v>69</v>
      </c>
      <c r="G8" s="32" t="n">
        <v>4.32135</v>
      </c>
      <c r="H8" s="32" t="n">
        <v>0.5</v>
      </c>
      <c r="I8" s="34" t="n">
        <f aca="false">E8+G8+H8</f>
        <v>23.28135</v>
      </c>
      <c r="J8" s="35" t="n">
        <f aca="false">ROUND(J10*(I8/I10),0)</f>
        <v>29</v>
      </c>
      <c r="K8" s="42" t="s">
        <v>99</v>
      </c>
      <c r="L8" s="43" t="n">
        <v>40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"/>
      <c r="B9" s="30" t="s">
        <v>100</v>
      </c>
      <c r="C9" s="31" t="s">
        <v>101</v>
      </c>
      <c r="D9" s="32" t="n">
        <v>7.84</v>
      </c>
      <c r="E9" s="33" t="n">
        <f aca="false">D9*2</f>
        <v>15.68</v>
      </c>
      <c r="F9" s="31" t="s">
        <v>72</v>
      </c>
      <c r="G9" s="32" t="n">
        <v>0.67375</v>
      </c>
      <c r="H9" s="32" t="n">
        <v>0.5</v>
      </c>
      <c r="I9" s="34" t="n">
        <f aca="false">E9+G9+H9</f>
        <v>16.85375</v>
      </c>
      <c r="J9" s="35" t="n">
        <f aca="false">J10-(J8)</f>
        <v>21</v>
      </c>
      <c r="K9" s="42" t="s">
        <v>102</v>
      </c>
      <c r="L9" s="43" t="n">
        <v>40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"/>
      <c r="B10" s="36" t="s">
        <v>11</v>
      </c>
      <c r="C10" s="37"/>
      <c r="D10" s="37"/>
      <c r="E10" s="37"/>
      <c r="F10" s="37"/>
      <c r="G10" s="37"/>
      <c r="H10" s="38" t="s">
        <v>73</v>
      </c>
      <c r="I10" s="39" t="n">
        <f aca="false">SUM(I8:I9)</f>
        <v>40.1351</v>
      </c>
      <c r="J10" s="40" t="n">
        <v>50</v>
      </c>
      <c r="K10" s="37"/>
      <c r="L10" s="37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"/>
      <c r="B11" s="1"/>
      <c r="C11" s="1"/>
      <c r="D11" s="1"/>
      <c r="E11" s="1"/>
      <c r="F11" s="1"/>
      <c r="G11" s="1"/>
      <c r="H11" s="22" t="s">
        <v>51</v>
      </c>
      <c r="I11" s="23" t="n">
        <f aca="false">(J10-I10)/J10</f>
        <v>0.197298</v>
      </c>
      <c r="J11" s="24" t="n">
        <f aca="false">J10-I10</f>
        <v>9.86490000000001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4" hidden="false" customHeight="true" outlineLevel="0" collapsed="false">
      <c r="A13" s="1"/>
      <c r="B13" s="29" t="s">
        <v>74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"/>
      <c r="B14" s="30" t="s">
        <v>97</v>
      </c>
      <c r="C14" s="31" t="s">
        <v>98</v>
      </c>
      <c r="D14" s="32" t="n">
        <v>9.23</v>
      </c>
      <c r="E14" s="33" t="n">
        <f aca="false">D14*2</f>
        <v>18.46</v>
      </c>
      <c r="F14" s="31" t="s">
        <v>69</v>
      </c>
      <c r="G14" s="32" t="n">
        <v>4.32135</v>
      </c>
      <c r="H14" s="32" t="n">
        <v>0.5</v>
      </c>
      <c r="I14" s="34" t="n">
        <f aca="false">E14+G14+H14</f>
        <v>23.28135</v>
      </c>
      <c r="J14" s="35" t="n">
        <f aca="false">ROUND(J17*(I14/I17),0)</f>
        <v>30</v>
      </c>
      <c r="K14" s="42" t="s">
        <v>99</v>
      </c>
      <c r="L14" s="43" t="n">
        <v>40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"/>
      <c r="B15" s="30" t="s">
        <v>100</v>
      </c>
      <c r="C15" s="31" t="s">
        <v>101</v>
      </c>
      <c r="D15" s="32" t="n">
        <v>7.84</v>
      </c>
      <c r="E15" s="33" t="n">
        <f aca="false">D15*2</f>
        <v>15.68</v>
      </c>
      <c r="F15" s="31" t="s">
        <v>72</v>
      </c>
      <c r="G15" s="32" t="n">
        <v>0.67375</v>
      </c>
      <c r="H15" s="32" t="n">
        <v>0.5</v>
      </c>
      <c r="I15" s="34" t="n">
        <f aca="false">E15+G15+H15</f>
        <v>16.85375</v>
      </c>
      <c r="J15" s="35" t="n">
        <f aca="false">ROUND(J17*(I15/I17),0)</f>
        <v>22</v>
      </c>
      <c r="K15" s="42" t="s">
        <v>102</v>
      </c>
      <c r="L15" s="43" t="n">
        <v>40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"/>
      <c r="B16" s="30" t="s">
        <v>14</v>
      </c>
      <c r="C16" s="31" t="s">
        <v>75</v>
      </c>
      <c r="D16" s="32" t="n">
        <v>4.5</v>
      </c>
      <c r="E16" s="33" t="n">
        <f aca="false">D16*2</f>
        <v>9</v>
      </c>
      <c r="F16" s="31" t="s">
        <v>69</v>
      </c>
      <c r="G16" s="32" t="n">
        <v>4.32135</v>
      </c>
      <c r="H16" s="32" t="n">
        <v>0.5</v>
      </c>
      <c r="I16" s="34" t="n">
        <f aca="false">E16+G16+H16</f>
        <v>13.82135</v>
      </c>
      <c r="J16" s="35" t="n">
        <f aca="false">J17-(J14+J15)</f>
        <v>18</v>
      </c>
      <c r="K16" s="44"/>
      <c r="L16" s="4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"/>
      <c r="B17" s="36" t="s">
        <v>11</v>
      </c>
      <c r="C17" s="37"/>
      <c r="D17" s="37"/>
      <c r="E17" s="37"/>
      <c r="F17" s="37"/>
      <c r="G17" s="37"/>
      <c r="H17" s="38" t="s">
        <v>73</v>
      </c>
      <c r="I17" s="39" t="n">
        <f aca="false">SUM(I14:I16)</f>
        <v>53.95645</v>
      </c>
      <c r="J17" s="40" t="n">
        <v>70</v>
      </c>
      <c r="K17" s="37"/>
      <c r="L17" s="37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"/>
      <c r="B18" s="1"/>
      <c r="C18" s="1"/>
      <c r="D18" s="1"/>
      <c r="E18" s="1"/>
      <c r="F18" s="1"/>
      <c r="G18" s="1"/>
      <c r="H18" s="22" t="s">
        <v>51</v>
      </c>
      <c r="I18" s="23" t="n">
        <f aca="false">(J17-I17)/J17</f>
        <v>0.229193571428572</v>
      </c>
      <c r="J18" s="24" t="n">
        <f aca="false">J17-I17</f>
        <v>16.04355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24" hidden="false" customHeight="true" outlineLevel="0" collapsed="false">
      <c r="A20" s="1"/>
      <c r="B20" s="29" t="s">
        <v>76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1"/>
      <c r="B21" s="30" t="s">
        <v>103</v>
      </c>
      <c r="C21" s="31" t="s">
        <v>104</v>
      </c>
      <c r="D21" s="32" t="n">
        <v>6.61</v>
      </c>
      <c r="E21" s="33" t="n">
        <f aca="false">D21*2</f>
        <v>13.22</v>
      </c>
      <c r="F21" s="31" t="s">
        <v>69</v>
      </c>
      <c r="G21" s="32" t="n">
        <v>4.32135</v>
      </c>
      <c r="H21" s="32" t="n">
        <v>0.5</v>
      </c>
      <c r="I21" s="34" t="n">
        <f aca="false">E21+G21+H21</f>
        <v>18.04135</v>
      </c>
      <c r="J21" s="35" t="n">
        <f aca="false">ROUND(J24*(I21/I24),0)</f>
        <v>22</v>
      </c>
      <c r="K21" s="44"/>
      <c r="L21" s="4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" hidden="false" customHeight="true" outlineLevel="0" collapsed="false">
      <c r="A22" s="1"/>
      <c r="B22" s="30" t="s">
        <v>100</v>
      </c>
      <c r="C22" s="31" t="s">
        <v>101</v>
      </c>
      <c r="D22" s="32" t="n">
        <v>7.84</v>
      </c>
      <c r="E22" s="33" t="n">
        <f aca="false">D22*2</f>
        <v>15.68</v>
      </c>
      <c r="F22" s="31" t="s">
        <v>72</v>
      </c>
      <c r="G22" s="32" t="n">
        <v>0.67375</v>
      </c>
      <c r="H22" s="32" t="n">
        <v>0.5</v>
      </c>
      <c r="I22" s="34" t="n">
        <f aca="false">E22+G22+H22</f>
        <v>16.85375</v>
      </c>
      <c r="J22" s="35" t="n">
        <f aca="false">ROUND(J24*(I22/I24),0)</f>
        <v>21</v>
      </c>
      <c r="K22" s="44"/>
      <c r="L22" s="4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" hidden="false" customHeight="true" outlineLevel="0" collapsed="false">
      <c r="A23" s="1"/>
      <c r="B23" s="30" t="s">
        <v>14</v>
      </c>
      <c r="C23" s="31" t="s">
        <v>75</v>
      </c>
      <c r="D23" s="32" t="n">
        <v>4.5</v>
      </c>
      <c r="E23" s="33" t="n">
        <f aca="false">D23*2</f>
        <v>9</v>
      </c>
      <c r="F23" s="31" t="s">
        <v>69</v>
      </c>
      <c r="G23" s="32" t="n">
        <v>4.32135</v>
      </c>
      <c r="H23" s="32" t="n">
        <v>0.5</v>
      </c>
      <c r="I23" s="34" t="n">
        <f aca="false">E23+G23+H23</f>
        <v>13.82135</v>
      </c>
      <c r="J23" s="35" t="n">
        <f aca="false">J24-(J21+J22)</f>
        <v>17</v>
      </c>
      <c r="K23" s="44"/>
      <c r="L23" s="4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1"/>
      <c r="B24" s="36" t="s">
        <v>11</v>
      </c>
      <c r="C24" s="37"/>
      <c r="D24" s="37"/>
      <c r="E24" s="37"/>
      <c r="F24" s="37"/>
      <c r="G24" s="37"/>
      <c r="H24" s="38" t="s">
        <v>73</v>
      </c>
      <c r="I24" s="39" t="n">
        <f aca="false">SUM(I21:I23)</f>
        <v>48.71645</v>
      </c>
      <c r="J24" s="40" t="n">
        <v>60</v>
      </c>
      <c r="K24" s="37"/>
      <c r="L24" s="37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A25" s="1"/>
      <c r="B25" s="1"/>
      <c r="C25" s="1"/>
      <c r="D25" s="1"/>
      <c r="E25" s="1"/>
      <c r="F25" s="1"/>
      <c r="G25" s="1"/>
      <c r="H25" s="22" t="s">
        <v>51</v>
      </c>
      <c r="I25" s="23" t="n">
        <f aca="false">(J24-I24)/J24</f>
        <v>0.188059166666667</v>
      </c>
      <c r="J25" s="24" t="n">
        <f aca="false">J24-I24</f>
        <v>11.28355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24" hidden="false" customHeight="true" outlineLevel="0" collapsed="false">
      <c r="A27" s="1"/>
      <c r="B27" s="29" t="s">
        <v>79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1"/>
      <c r="B28" s="30" t="s">
        <v>103</v>
      </c>
      <c r="C28" s="31" t="s">
        <v>104</v>
      </c>
      <c r="D28" s="32" t="n">
        <v>6.61</v>
      </c>
      <c r="E28" s="33" t="n">
        <f aca="false">D28*2</f>
        <v>13.22</v>
      </c>
      <c r="F28" s="31" t="s">
        <v>69</v>
      </c>
      <c r="G28" s="32" t="n">
        <v>4.32135</v>
      </c>
      <c r="H28" s="32" t="n">
        <v>0.5</v>
      </c>
      <c r="I28" s="34" t="n">
        <f aca="false">E28+G28+H28</f>
        <v>18.04135</v>
      </c>
      <c r="J28" s="35" t="n">
        <f aca="false">ROUND(J32*(I28/I32),0)</f>
        <v>23</v>
      </c>
      <c r="K28" s="44"/>
      <c r="L28" s="4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true" outlineLevel="0" collapsed="false">
      <c r="A29" s="1"/>
      <c r="B29" s="30" t="s">
        <v>100</v>
      </c>
      <c r="C29" s="31" t="s">
        <v>101</v>
      </c>
      <c r="D29" s="32" t="n">
        <v>7.84</v>
      </c>
      <c r="E29" s="33" t="n">
        <f aca="false">D29*2</f>
        <v>15.68</v>
      </c>
      <c r="F29" s="31" t="s">
        <v>72</v>
      </c>
      <c r="G29" s="32" t="n">
        <v>0.67375</v>
      </c>
      <c r="H29" s="32" t="n">
        <v>0.5</v>
      </c>
      <c r="I29" s="34" t="n">
        <f aca="false">E29+G29+H29</f>
        <v>16.85375</v>
      </c>
      <c r="J29" s="35" t="n">
        <f aca="false">ROUND(J32*(I29/I32),0)</f>
        <v>22</v>
      </c>
      <c r="K29" s="44"/>
      <c r="L29" s="44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true" outlineLevel="0" collapsed="false">
      <c r="A30" s="1"/>
      <c r="B30" s="30" t="s">
        <v>14</v>
      </c>
      <c r="C30" s="31" t="s">
        <v>75</v>
      </c>
      <c r="D30" s="32" t="n">
        <v>4.5</v>
      </c>
      <c r="E30" s="33" t="n">
        <f aca="false">D30*2</f>
        <v>9</v>
      </c>
      <c r="F30" s="31" t="s">
        <v>69</v>
      </c>
      <c r="G30" s="32" t="n">
        <v>4.32135</v>
      </c>
      <c r="H30" s="32" t="n">
        <v>0.5</v>
      </c>
      <c r="I30" s="34" t="n">
        <f aca="false">E30+G30+H30</f>
        <v>13.82135</v>
      </c>
      <c r="J30" s="35" t="n">
        <f aca="false">ROUND(J32*(I30/I32),0)</f>
        <v>18</v>
      </c>
      <c r="K30" s="44"/>
      <c r="L30" s="44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true" outlineLevel="0" collapsed="false">
      <c r="A31" s="1"/>
      <c r="B31" s="30" t="s">
        <v>21</v>
      </c>
      <c r="C31" s="31" t="s">
        <v>75</v>
      </c>
      <c r="D31" s="32" t="n">
        <v>6</v>
      </c>
      <c r="E31" s="33" t="n">
        <f aca="false">D31*2</f>
        <v>12</v>
      </c>
      <c r="F31" s="31" t="s">
        <v>69</v>
      </c>
      <c r="G31" s="32" t="n">
        <v>4.32135</v>
      </c>
      <c r="H31" s="32" t="n">
        <v>0.5</v>
      </c>
      <c r="I31" s="34" t="n">
        <f aca="false">E31+G31+H31</f>
        <v>16.82135</v>
      </c>
      <c r="J31" s="35" t="n">
        <f aca="false">J32-(J28+J29+J30)</f>
        <v>22</v>
      </c>
      <c r="K31" s="44"/>
      <c r="L31" s="44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true" outlineLevel="0" collapsed="false">
      <c r="A32" s="1"/>
      <c r="B32" s="36" t="s">
        <v>11</v>
      </c>
      <c r="C32" s="37"/>
      <c r="D32" s="37"/>
      <c r="E32" s="37"/>
      <c r="F32" s="37"/>
      <c r="G32" s="37"/>
      <c r="H32" s="38" t="s">
        <v>73</v>
      </c>
      <c r="I32" s="39" t="n">
        <f aca="false">SUM(I28:I31)</f>
        <v>65.5378</v>
      </c>
      <c r="J32" s="40" t="n">
        <v>85</v>
      </c>
      <c r="K32" s="37"/>
      <c r="L32" s="37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true" outlineLevel="0" collapsed="false">
      <c r="A33" s="1"/>
      <c r="B33" s="1"/>
      <c r="C33" s="1"/>
      <c r="D33" s="1"/>
      <c r="E33" s="1"/>
      <c r="F33" s="1"/>
      <c r="G33" s="1"/>
      <c r="H33" s="22" t="s">
        <v>51</v>
      </c>
      <c r="I33" s="23" t="n">
        <f aca="false">(J32-I32)/J32</f>
        <v>0.22896705882353</v>
      </c>
      <c r="J33" s="24" t="n">
        <f aca="false">J32-I32</f>
        <v>19.4622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24" hidden="false" customHeight="true" outlineLevel="0" collapsed="false">
      <c r="A35" s="1"/>
      <c r="B35" s="29" t="s">
        <v>80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true" outlineLevel="0" collapsed="false">
      <c r="A36" s="1"/>
      <c r="B36" s="30" t="s">
        <v>97</v>
      </c>
      <c r="C36" s="31" t="s">
        <v>98</v>
      </c>
      <c r="D36" s="32" t="n">
        <v>9.23</v>
      </c>
      <c r="E36" s="33" t="n">
        <f aca="false">D36*2</f>
        <v>18.46</v>
      </c>
      <c r="F36" s="31" t="s">
        <v>69</v>
      </c>
      <c r="G36" s="32" t="n">
        <v>4.32135</v>
      </c>
      <c r="H36" s="32" t="n">
        <v>0.5</v>
      </c>
      <c r="I36" s="34" t="n">
        <f aca="false">E36+G36+H36</f>
        <v>23.28135</v>
      </c>
      <c r="J36" s="35" t="n">
        <f aca="false">ROUND(J40*(I36/I40),0)</f>
        <v>29</v>
      </c>
      <c r="K36" s="42" t="s">
        <v>99</v>
      </c>
      <c r="L36" s="43" t="n">
        <v>40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true" outlineLevel="0" collapsed="false">
      <c r="A37" s="1"/>
      <c r="B37" s="30" t="s">
        <v>100</v>
      </c>
      <c r="C37" s="31" t="s">
        <v>101</v>
      </c>
      <c r="D37" s="32" t="n">
        <v>7.84</v>
      </c>
      <c r="E37" s="33" t="n">
        <f aca="false">D37*2</f>
        <v>15.68</v>
      </c>
      <c r="F37" s="31" t="s">
        <v>72</v>
      </c>
      <c r="G37" s="32" t="n">
        <v>0.67375</v>
      </c>
      <c r="H37" s="32" t="n">
        <v>0.5</v>
      </c>
      <c r="I37" s="34" t="n">
        <f aca="false">E37+G37+H37</f>
        <v>16.85375</v>
      </c>
      <c r="J37" s="35" t="n">
        <f aca="false">ROUND(J40*(I37/I40),0)</f>
        <v>21</v>
      </c>
      <c r="K37" s="42" t="s">
        <v>102</v>
      </c>
      <c r="L37" s="43" t="n">
        <v>40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true" outlineLevel="0" collapsed="false">
      <c r="A38" s="1"/>
      <c r="B38" s="30" t="s">
        <v>14</v>
      </c>
      <c r="C38" s="31" t="s">
        <v>75</v>
      </c>
      <c r="D38" s="32" t="n">
        <v>4.5</v>
      </c>
      <c r="E38" s="33" t="n">
        <f aca="false">D38*2</f>
        <v>9</v>
      </c>
      <c r="F38" s="31" t="s">
        <v>69</v>
      </c>
      <c r="G38" s="32" t="n">
        <v>4.32135</v>
      </c>
      <c r="H38" s="32" t="n">
        <v>0.5</v>
      </c>
      <c r="I38" s="34" t="n">
        <f aca="false">E38+G38+H38</f>
        <v>13.82135</v>
      </c>
      <c r="J38" s="35" t="n">
        <f aca="false">ROUND(J40*(I38/I40),0)</f>
        <v>17</v>
      </c>
      <c r="K38" s="44"/>
      <c r="L38" s="4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true" outlineLevel="0" collapsed="false">
      <c r="A39" s="1"/>
      <c r="B39" s="30" t="s">
        <v>40</v>
      </c>
      <c r="C39" s="31" t="s">
        <v>81</v>
      </c>
      <c r="D39" s="32" t="n">
        <v>10</v>
      </c>
      <c r="E39" s="33" t="n">
        <f aca="false">D39*2</f>
        <v>20</v>
      </c>
      <c r="F39" s="31" t="s">
        <v>69</v>
      </c>
      <c r="G39" s="32" t="n">
        <v>4.32135</v>
      </c>
      <c r="H39" s="32" t="n">
        <v>0.5</v>
      </c>
      <c r="I39" s="34" t="n">
        <f aca="false">E39+G39+H39</f>
        <v>24.82135</v>
      </c>
      <c r="J39" s="35" t="n">
        <f aca="false">J40-(J36+J37+J38)</f>
        <v>32</v>
      </c>
      <c r="K39" s="44"/>
      <c r="L39" s="4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true" outlineLevel="0" collapsed="false">
      <c r="A40" s="1"/>
      <c r="B40" s="36" t="s">
        <v>11</v>
      </c>
      <c r="C40" s="37"/>
      <c r="D40" s="37"/>
      <c r="E40" s="37"/>
      <c r="F40" s="37"/>
      <c r="G40" s="37"/>
      <c r="H40" s="38" t="s">
        <v>73</v>
      </c>
      <c r="I40" s="39" t="n">
        <f aca="false">SUM(I36:I39)</f>
        <v>78.7778</v>
      </c>
      <c r="J40" s="40" t="n">
        <v>99</v>
      </c>
      <c r="K40" s="37"/>
      <c r="L40" s="37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true" outlineLevel="0" collapsed="false">
      <c r="A41" s="1"/>
      <c r="B41" s="1"/>
      <c r="C41" s="1"/>
      <c r="D41" s="1"/>
      <c r="E41" s="1"/>
      <c r="F41" s="1"/>
      <c r="G41" s="1"/>
      <c r="H41" s="22" t="s">
        <v>51</v>
      </c>
      <c r="I41" s="23" t="n">
        <f aca="false">(J40-I40)/J40</f>
        <v>0.204264646464646</v>
      </c>
      <c r="J41" s="24" t="n">
        <f aca="false">J40-I40</f>
        <v>20.2222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24" hidden="false" customHeight="true" outlineLevel="0" collapsed="false">
      <c r="A43" s="1"/>
      <c r="B43" s="29" t="s">
        <v>85</v>
      </c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" hidden="false" customHeight="true" outlineLevel="0" collapsed="false">
      <c r="A44" s="1"/>
      <c r="B44" s="30" t="s">
        <v>97</v>
      </c>
      <c r="C44" s="31" t="s">
        <v>98</v>
      </c>
      <c r="D44" s="32" t="n">
        <v>9.23</v>
      </c>
      <c r="E44" s="33" t="n">
        <f aca="false">D44*2</f>
        <v>18.46</v>
      </c>
      <c r="F44" s="31" t="s">
        <v>69</v>
      </c>
      <c r="G44" s="32" t="n">
        <v>4.32135</v>
      </c>
      <c r="H44" s="32" t="n">
        <v>0.5</v>
      </c>
      <c r="I44" s="34" t="n">
        <f aca="false">E44+G44+H44</f>
        <v>23.28135</v>
      </c>
      <c r="J44" s="35" t="n">
        <f aca="false">ROUND(J49*(I44/I49),0)</f>
        <v>29</v>
      </c>
      <c r="K44" s="42" t="s">
        <v>99</v>
      </c>
      <c r="L44" s="43" t="n">
        <v>40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" hidden="false" customHeight="true" outlineLevel="0" collapsed="false">
      <c r="A45" s="1"/>
      <c r="B45" s="30" t="s">
        <v>100</v>
      </c>
      <c r="C45" s="31" t="s">
        <v>101</v>
      </c>
      <c r="D45" s="32" t="n">
        <v>7.84</v>
      </c>
      <c r="E45" s="33" t="n">
        <f aca="false">D45*2</f>
        <v>15.68</v>
      </c>
      <c r="F45" s="31" t="s">
        <v>72</v>
      </c>
      <c r="G45" s="32" t="n">
        <v>0.67375</v>
      </c>
      <c r="H45" s="32" t="n">
        <v>0.5</v>
      </c>
      <c r="I45" s="34" t="n">
        <f aca="false">E45+G45+H45</f>
        <v>16.85375</v>
      </c>
      <c r="J45" s="35" t="n">
        <f aca="false">ROUND(J49*(I45/I49),0)</f>
        <v>21</v>
      </c>
      <c r="K45" s="42" t="s">
        <v>102</v>
      </c>
      <c r="L45" s="43" t="n">
        <v>40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" hidden="false" customHeight="true" outlineLevel="0" collapsed="false">
      <c r="A46" s="1"/>
      <c r="B46" s="30" t="s">
        <v>14</v>
      </c>
      <c r="C46" s="31" t="s">
        <v>75</v>
      </c>
      <c r="D46" s="32" t="n">
        <v>4.5</v>
      </c>
      <c r="E46" s="33" t="n">
        <f aca="false">D46*2</f>
        <v>9</v>
      </c>
      <c r="F46" s="31" t="s">
        <v>69</v>
      </c>
      <c r="G46" s="32" t="n">
        <v>4.32135</v>
      </c>
      <c r="H46" s="32" t="n">
        <v>0.5</v>
      </c>
      <c r="I46" s="34" t="n">
        <f aca="false">E46+G46+H46</f>
        <v>13.82135</v>
      </c>
      <c r="J46" s="35" t="n">
        <f aca="false">ROUND(J49*(I46/I49),0)</f>
        <v>17</v>
      </c>
      <c r="K46" s="44"/>
      <c r="L46" s="44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" hidden="false" customHeight="true" outlineLevel="0" collapsed="false">
      <c r="A47" s="1"/>
      <c r="B47" s="30" t="s">
        <v>22</v>
      </c>
      <c r="C47" s="31" t="s">
        <v>86</v>
      </c>
      <c r="D47" s="32" t="n">
        <v>12</v>
      </c>
      <c r="E47" s="33" t="n">
        <f aca="false">D47*2</f>
        <v>24</v>
      </c>
      <c r="F47" s="31" t="s">
        <v>69</v>
      </c>
      <c r="G47" s="32" t="n">
        <v>4.32135</v>
      </c>
      <c r="H47" s="32" t="n">
        <v>0.5</v>
      </c>
      <c r="I47" s="34" t="n">
        <f aca="false">E47+G47+H47</f>
        <v>28.82135</v>
      </c>
      <c r="J47" s="35" t="n">
        <f aca="false">ROUND(J49*(I47/I49),0)</f>
        <v>36</v>
      </c>
      <c r="K47" s="44"/>
      <c r="L47" s="44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true" outlineLevel="0" collapsed="false">
      <c r="A48" s="1"/>
      <c r="B48" s="30" t="s">
        <v>24</v>
      </c>
      <c r="C48" s="31" t="s">
        <v>87</v>
      </c>
      <c r="D48" s="32" t="n">
        <v>12</v>
      </c>
      <c r="E48" s="33" t="n">
        <f aca="false">D48*2</f>
        <v>24</v>
      </c>
      <c r="F48" s="31" t="s">
        <v>69</v>
      </c>
      <c r="G48" s="32" t="n">
        <v>4.32135</v>
      </c>
      <c r="H48" s="32" t="n">
        <v>0.5</v>
      </c>
      <c r="I48" s="34" t="n">
        <f aca="false">E48+G48+H48</f>
        <v>28.82135</v>
      </c>
      <c r="J48" s="35" t="n">
        <f aca="false">J49-(J44+J45+J46+J47)</f>
        <v>37</v>
      </c>
      <c r="K48" s="44"/>
      <c r="L48" s="44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true" outlineLevel="0" collapsed="false">
      <c r="A49" s="1"/>
      <c r="B49" s="36" t="s">
        <v>11</v>
      </c>
      <c r="C49" s="37"/>
      <c r="D49" s="37"/>
      <c r="E49" s="37"/>
      <c r="F49" s="37"/>
      <c r="G49" s="37"/>
      <c r="H49" s="38" t="s">
        <v>73</v>
      </c>
      <c r="I49" s="39" t="n">
        <f aca="false">SUM(I44:I48)</f>
        <v>111.59915</v>
      </c>
      <c r="J49" s="40" t="n">
        <v>140</v>
      </c>
      <c r="K49" s="37"/>
      <c r="L49" s="37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" hidden="false" customHeight="true" outlineLevel="0" collapsed="false">
      <c r="A50" s="1"/>
      <c r="B50" s="1"/>
      <c r="C50" s="1"/>
      <c r="D50" s="1"/>
      <c r="E50" s="1"/>
      <c r="F50" s="1"/>
      <c r="G50" s="1"/>
      <c r="H50" s="22" t="s">
        <v>51</v>
      </c>
      <c r="I50" s="23" t="n">
        <f aca="false">(J49-I49)/J49</f>
        <v>0.202863214285714</v>
      </c>
      <c r="J50" s="24" t="n">
        <f aca="false">J49-I49</f>
        <v>28.40085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24" hidden="false" customHeight="true" outlineLevel="0" collapsed="false">
      <c r="A52" s="1"/>
      <c r="B52" s="29" t="s">
        <v>88</v>
      </c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true" outlineLevel="0" collapsed="false">
      <c r="A53" s="1"/>
      <c r="B53" s="30" t="s">
        <v>97</v>
      </c>
      <c r="C53" s="31" t="s">
        <v>98</v>
      </c>
      <c r="D53" s="32" t="n">
        <v>9.23</v>
      </c>
      <c r="E53" s="33" t="n">
        <f aca="false">D53*2</f>
        <v>18.46</v>
      </c>
      <c r="F53" s="31" t="s">
        <v>69</v>
      </c>
      <c r="G53" s="32" t="n">
        <v>4.32135</v>
      </c>
      <c r="H53" s="32" t="n">
        <v>0.5</v>
      </c>
      <c r="I53" s="34" t="n">
        <f aca="false">E53+G53+H53</f>
        <v>23.28135</v>
      </c>
      <c r="J53" s="35" t="n">
        <f aca="false">ROUND(J59*(I53/I59),0)</f>
        <v>29</v>
      </c>
      <c r="K53" s="42" t="s">
        <v>99</v>
      </c>
      <c r="L53" s="43" t="n">
        <v>40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true" outlineLevel="0" collapsed="false">
      <c r="A54" s="1"/>
      <c r="B54" s="30" t="s">
        <v>100</v>
      </c>
      <c r="C54" s="31" t="s">
        <v>101</v>
      </c>
      <c r="D54" s="32" t="n">
        <v>7.84</v>
      </c>
      <c r="E54" s="33" t="n">
        <f aca="false">D54*2</f>
        <v>15.68</v>
      </c>
      <c r="F54" s="31" t="s">
        <v>72</v>
      </c>
      <c r="G54" s="32" t="n">
        <v>0.67375</v>
      </c>
      <c r="H54" s="32" t="n">
        <v>0.5</v>
      </c>
      <c r="I54" s="34" t="n">
        <f aca="false">E54+G54+H54</f>
        <v>16.85375</v>
      </c>
      <c r="J54" s="35" t="n">
        <f aca="false">ROUND(J59*(I54/I59),0)</f>
        <v>21</v>
      </c>
      <c r="K54" s="42" t="s">
        <v>102</v>
      </c>
      <c r="L54" s="43" t="n">
        <v>40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" hidden="false" customHeight="true" outlineLevel="0" collapsed="false">
      <c r="A55" s="1"/>
      <c r="B55" s="30" t="s">
        <v>14</v>
      </c>
      <c r="C55" s="31" t="s">
        <v>75</v>
      </c>
      <c r="D55" s="32" t="n">
        <v>4.5</v>
      </c>
      <c r="E55" s="33" t="n">
        <f aca="false">D55*2</f>
        <v>9</v>
      </c>
      <c r="F55" s="31" t="s">
        <v>69</v>
      </c>
      <c r="G55" s="32" t="n">
        <v>4.32135</v>
      </c>
      <c r="H55" s="32" t="n">
        <v>0.5</v>
      </c>
      <c r="I55" s="34" t="n">
        <f aca="false">E55+G55+H55</f>
        <v>13.82135</v>
      </c>
      <c r="J55" s="35" t="n">
        <f aca="false">ROUND(J59*(I55/I59),0)</f>
        <v>17</v>
      </c>
      <c r="K55" s="44"/>
      <c r="L55" s="4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true" outlineLevel="0" collapsed="false">
      <c r="A56" s="1"/>
      <c r="B56" s="30" t="s">
        <v>21</v>
      </c>
      <c r="C56" s="31" t="s">
        <v>75</v>
      </c>
      <c r="D56" s="32" t="n">
        <v>6</v>
      </c>
      <c r="E56" s="33" t="n">
        <f aca="false">D56*2</f>
        <v>12</v>
      </c>
      <c r="F56" s="31" t="s">
        <v>69</v>
      </c>
      <c r="G56" s="32" t="n">
        <v>4.32135</v>
      </c>
      <c r="H56" s="32" t="n">
        <v>0.5</v>
      </c>
      <c r="I56" s="34" t="n">
        <f aca="false">E56+G56+H56</f>
        <v>16.82135</v>
      </c>
      <c r="J56" s="35" t="n">
        <f aca="false">ROUND(J59*(I56/I59),0)</f>
        <v>21</v>
      </c>
      <c r="K56" s="44"/>
      <c r="L56" s="4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true" outlineLevel="0" collapsed="false">
      <c r="A57" s="1"/>
      <c r="B57" s="30" t="s">
        <v>22</v>
      </c>
      <c r="C57" s="31" t="s">
        <v>86</v>
      </c>
      <c r="D57" s="32" t="n">
        <v>12</v>
      </c>
      <c r="E57" s="33" t="n">
        <f aca="false">D57*2</f>
        <v>24</v>
      </c>
      <c r="F57" s="31" t="s">
        <v>69</v>
      </c>
      <c r="G57" s="32" t="n">
        <v>4.32135</v>
      </c>
      <c r="H57" s="32" t="n">
        <v>0.5</v>
      </c>
      <c r="I57" s="34" t="n">
        <f aca="false">E57+G57+H57</f>
        <v>28.82135</v>
      </c>
      <c r="J57" s="35" t="n">
        <f aca="false">ROUND(J59*(I57/I59),0)</f>
        <v>36</v>
      </c>
      <c r="K57" s="44"/>
      <c r="L57" s="4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true" outlineLevel="0" collapsed="false">
      <c r="A58" s="1"/>
      <c r="B58" s="30" t="s">
        <v>24</v>
      </c>
      <c r="C58" s="31" t="s">
        <v>87</v>
      </c>
      <c r="D58" s="32" t="n">
        <v>12</v>
      </c>
      <c r="E58" s="33" t="n">
        <f aca="false">D58*2</f>
        <v>24</v>
      </c>
      <c r="F58" s="31" t="s">
        <v>69</v>
      </c>
      <c r="G58" s="32" t="n">
        <v>4.32135</v>
      </c>
      <c r="H58" s="32" t="n">
        <v>0.5</v>
      </c>
      <c r="I58" s="34" t="n">
        <f aca="false">E58+G58+H58</f>
        <v>28.82135</v>
      </c>
      <c r="J58" s="35" t="n">
        <f aca="false">J59-(J53+J54+J55+J56+J57)</f>
        <v>36</v>
      </c>
      <c r="K58" s="44"/>
      <c r="L58" s="4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true" outlineLevel="0" collapsed="false">
      <c r="A59" s="1"/>
      <c r="B59" s="36" t="s">
        <v>11</v>
      </c>
      <c r="C59" s="37"/>
      <c r="D59" s="37"/>
      <c r="E59" s="37"/>
      <c r="F59" s="37"/>
      <c r="G59" s="37"/>
      <c r="H59" s="38" t="s">
        <v>73</v>
      </c>
      <c r="I59" s="39" t="n">
        <f aca="false">SUM(I53:I58)</f>
        <v>128.4205</v>
      </c>
      <c r="J59" s="40" t="n">
        <v>160</v>
      </c>
      <c r="K59" s="37"/>
      <c r="L59" s="37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true" outlineLevel="0" collapsed="false">
      <c r="A60" s="1"/>
      <c r="B60" s="1"/>
      <c r="C60" s="1"/>
      <c r="D60" s="1"/>
      <c r="E60" s="1"/>
      <c r="F60" s="1"/>
      <c r="G60" s="1"/>
      <c r="H60" s="22" t="s">
        <v>51</v>
      </c>
      <c r="I60" s="23" t="n">
        <f aca="false">(J59-I59)/J59</f>
        <v>0.197371875</v>
      </c>
      <c r="J60" s="24" t="n">
        <f aca="false">J59-I59</f>
        <v>31.5795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24" hidden="false" customHeight="true" outlineLevel="0" collapsed="false">
      <c r="A62" s="1"/>
      <c r="B62" s="41" t="s">
        <v>89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24" hidden="false" customHeight="true" outlineLevel="0" collapsed="false">
      <c r="A64" s="1"/>
      <c r="B64" s="41" t="s">
        <v>90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true" outlineLevel="0" collapsed="false">
      <c r="A65" s="1"/>
      <c r="B65" s="30" t="s">
        <v>97</v>
      </c>
      <c r="C65" s="31" t="s">
        <v>98</v>
      </c>
      <c r="D65" s="32" t="n">
        <v>9.23</v>
      </c>
      <c r="E65" s="33" t="n">
        <f aca="false">D65*2</f>
        <v>18.46</v>
      </c>
      <c r="F65" s="31" t="s">
        <v>69</v>
      </c>
      <c r="G65" s="32" t="n">
        <v>4.32135</v>
      </c>
      <c r="H65" s="32" t="n">
        <v>0.5</v>
      </c>
      <c r="I65" s="34" t="n">
        <f aca="false">E65+G65+H65</f>
        <v>23.28135</v>
      </c>
      <c r="J65" s="35" t="n">
        <f aca="false">ROUND(J67*(I65/I67),0)</f>
        <v>29</v>
      </c>
      <c r="K65" s="44"/>
      <c r="L65" s="4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true" outlineLevel="0" collapsed="false">
      <c r="A66" s="1"/>
      <c r="B66" s="30" t="s">
        <v>100</v>
      </c>
      <c r="C66" s="31" t="s">
        <v>101</v>
      </c>
      <c r="D66" s="32" t="n">
        <v>7.84</v>
      </c>
      <c r="E66" s="33" t="n">
        <f aca="false">D66*2</f>
        <v>15.68</v>
      </c>
      <c r="F66" s="31" t="s">
        <v>72</v>
      </c>
      <c r="G66" s="32" t="n">
        <v>0.67375</v>
      </c>
      <c r="H66" s="32" t="n">
        <v>0.5</v>
      </c>
      <c r="I66" s="34" t="n">
        <f aca="false">E66+G66+H66</f>
        <v>16.85375</v>
      </c>
      <c r="J66" s="35" t="n">
        <f aca="false">J67-(J65)</f>
        <v>21</v>
      </c>
      <c r="K66" s="44"/>
      <c r="L66" s="4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" hidden="false" customHeight="true" outlineLevel="0" collapsed="false">
      <c r="A67" s="1"/>
      <c r="B67" s="36" t="s">
        <v>11</v>
      </c>
      <c r="C67" s="37"/>
      <c r="D67" s="37"/>
      <c r="E67" s="37"/>
      <c r="F67" s="37"/>
      <c r="G67" s="37"/>
      <c r="H67" s="38" t="s">
        <v>73</v>
      </c>
      <c r="I67" s="39" t="n">
        <f aca="false">SUM(I65:I66)</f>
        <v>40.1351</v>
      </c>
      <c r="J67" s="40" t="n">
        <v>50</v>
      </c>
      <c r="K67" s="37"/>
      <c r="L67" s="37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" hidden="false" customHeight="true" outlineLevel="0" collapsed="false">
      <c r="A68" s="1"/>
      <c r="B68" s="1"/>
      <c r="C68" s="1"/>
      <c r="D68" s="1"/>
      <c r="E68" s="1"/>
      <c r="F68" s="1"/>
      <c r="G68" s="1"/>
      <c r="H68" s="22" t="s">
        <v>51</v>
      </c>
      <c r="I68" s="23" t="n">
        <f aca="false">(J67-I67)/J67</f>
        <v>0.197298</v>
      </c>
      <c r="J68" s="24" t="n">
        <f aca="false">J67-I67</f>
        <v>9.86490000000001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24" hidden="false" customHeight="true" outlineLevel="0" collapsed="false">
      <c r="A70" s="1"/>
      <c r="B70" s="41" t="s">
        <v>91</v>
      </c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" hidden="false" customHeight="true" outlineLevel="0" collapsed="false">
      <c r="A71" s="1"/>
      <c r="B71" s="30" t="s">
        <v>97</v>
      </c>
      <c r="C71" s="31" t="s">
        <v>98</v>
      </c>
      <c r="D71" s="32" t="n">
        <v>9.23</v>
      </c>
      <c r="E71" s="33" t="n">
        <f aca="false">D71*2</f>
        <v>18.46</v>
      </c>
      <c r="F71" s="31" t="s">
        <v>69</v>
      </c>
      <c r="G71" s="32" t="n">
        <v>4.32135</v>
      </c>
      <c r="H71" s="32" t="n">
        <v>0.5</v>
      </c>
      <c r="I71" s="34" t="n">
        <f aca="false">E71+G71+H71</f>
        <v>23.28135</v>
      </c>
      <c r="J71" s="35" t="n">
        <f aca="false">ROUND(J74*(I71/I74),0)</f>
        <v>30</v>
      </c>
      <c r="K71" s="44"/>
      <c r="L71" s="4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" hidden="false" customHeight="true" outlineLevel="0" collapsed="false">
      <c r="A72" s="1"/>
      <c r="B72" s="30" t="s">
        <v>100</v>
      </c>
      <c r="C72" s="31" t="s">
        <v>101</v>
      </c>
      <c r="D72" s="32" t="n">
        <v>7.84</v>
      </c>
      <c r="E72" s="33" t="n">
        <f aca="false">D72*2</f>
        <v>15.68</v>
      </c>
      <c r="F72" s="31" t="s">
        <v>72</v>
      </c>
      <c r="G72" s="32" t="n">
        <v>0.67375</v>
      </c>
      <c r="H72" s="32" t="n">
        <v>0.5</v>
      </c>
      <c r="I72" s="34" t="n">
        <f aca="false">E72+G72+H72</f>
        <v>16.85375</v>
      </c>
      <c r="J72" s="35" t="n">
        <f aca="false">ROUND(J74*(I72/I74),0)</f>
        <v>22</v>
      </c>
      <c r="K72" s="44"/>
      <c r="L72" s="4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" hidden="false" customHeight="true" outlineLevel="0" collapsed="false">
      <c r="A73" s="1"/>
      <c r="B73" s="30" t="s">
        <v>14</v>
      </c>
      <c r="C73" s="31" t="s">
        <v>75</v>
      </c>
      <c r="D73" s="32" t="n">
        <v>4.5</v>
      </c>
      <c r="E73" s="33" t="n">
        <f aca="false">D73*2</f>
        <v>9</v>
      </c>
      <c r="F73" s="31" t="s">
        <v>69</v>
      </c>
      <c r="G73" s="32" t="n">
        <v>4.32135</v>
      </c>
      <c r="H73" s="32" t="n">
        <v>0.5</v>
      </c>
      <c r="I73" s="34" t="n">
        <f aca="false">E73+G73+H73</f>
        <v>13.82135</v>
      </c>
      <c r="J73" s="35" t="n">
        <f aca="false">J74-(J71+J72)</f>
        <v>18</v>
      </c>
      <c r="K73" s="44"/>
      <c r="L73" s="4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" hidden="false" customHeight="true" outlineLevel="0" collapsed="false">
      <c r="A74" s="1"/>
      <c r="B74" s="36" t="s">
        <v>11</v>
      </c>
      <c r="C74" s="37"/>
      <c r="D74" s="37"/>
      <c r="E74" s="37"/>
      <c r="F74" s="37"/>
      <c r="G74" s="37"/>
      <c r="H74" s="38" t="s">
        <v>73</v>
      </c>
      <c r="I74" s="39" t="n">
        <f aca="false">SUM(I71:I73)</f>
        <v>53.95645</v>
      </c>
      <c r="J74" s="40" t="n">
        <v>70</v>
      </c>
      <c r="K74" s="37"/>
      <c r="L74" s="37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" hidden="false" customHeight="true" outlineLevel="0" collapsed="false">
      <c r="A75" s="1"/>
      <c r="B75" s="1"/>
      <c r="C75" s="1"/>
      <c r="D75" s="1"/>
      <c r="E75" s="1"/>
      <c r="F75" s="1"/>
      <c r="G75" s="1"/>
      <c r="H75" s="22" t="s">
        <v>51</v>
      </c>
      <c r="I75" s="23" t="n">
        <f aca="false">(J74-I74)/J74</f>
        <v>0.229193571428572</v>
      </c>
      <c r="J75" s="24" t="n">
        <f aca="false">J74-I74</f>
        <v>16.04355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24" hidden="false" customHeight="true" outlineLevel="0" collapsed="false">
      <c r="A77" s="1"/>
      <c r="B77" s="41" t="s">
        <v>92</v>
      </c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" hidden="false" customHeight="true" outlineLevel="0" collapsed="false">
      <c r="A78" s="1"/>
      <c r="B78" s="30" t="s">
        <v>97</v>
      </c>
      <c r="C78" s="31" t="s">
        <v>105</v>
      </c>
      <c r="D78" s="32" t="n">
        <v>9.23</v>
      </c>
      <c r="E78" s="33" t="n">
        <f aca="false">D78*2</f>
        <v>18.46</v>
      </c>
      <c r="F78" s="31" t="s">
        <v>69</v>
      </c>
      <c r="G78" s="32" t="n">
        <v>4.32135</v>
      </c>
      <c r="H78" s="32" t="n">
        <v>0.5</v>
      </c>
      <c r="I78" s="34" t="n">
        <f aca="false">E78+G78+H78</f>
        <v>23.28135</v>
      </c>
      <c r="J78" s="35" t="n">
        <f aca="false">ROUND(J82*(I78/I82),0)</f>
        <v>29</v>
      </c>
      <c r="K78" s="44"/>
      <c r="L78" s="4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" hidden="false" customHeight="true" outlineLevel="0" collapsed="false">
      <c r="A79" s="1"/>
      <c r="B79" s="30" t="s">
        <v>100</v>
      </c>
      <c r="C79" s="31" t="s">
        <v>101</v>
      </c>
      <c r="D79" s="32" t="n">
        <v>7.84</v>
      </c>
      <c r="E79" s="33" t="n">
        <f aca="false">D79*2</f>
        <v>15.68</v>
      </c>
      <c r="F79" s="31" t="s">
        <v>72</v>
      </c>
      <c r="G79" s="32" t="n">
        <v>0.67375</v>
      </c>
      <c r="H79" s="32" t="n">
        <v>0.5</v>
      </c>
      <c r="I79" s="34" t="n">
        <f aca="false">E79+G79+H79</f>
        <v>16.85375</v>
      </c>
      <c r="J79" s="35" t="n">
        <f aca="false">ROUND(J82*(I79/I82),0)</f>
        <v>21</v>
      </c>
      <c r="K79" s="44"/>
      <c r="L79" s="4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" hidden="false" customHeight="true" outlineLevel="0" collapsed="false">
      <c r="A80" s="1"/>
      <c r="B80" s="30" t="s">
        <v>14</v>
      </c>
      <c r="C80" s="31" t="s">
        <v>75</v>
      </c>
      <c r="D80" s="32" t="n">
        <v>4.5</v>
      </c>
      <c r="E80" s="33" t="n">
        <f aca="false">D80*2</f>
        <v>9</v>
      </c>
      <c r="F80" s="31" t="s">
        <v>69</v>
      </c>
      <c r="G80" s="32" t="n">
        <v>4.32135</v>
      </c>
      <c r="H80" s="32" t="n">
        <v>0.5</v>
      </c>
      <c r="I80" s="34" t="n">
        <f aca="false">E80+G80+H80</f>
        <v>13.82135</v>
      </c>
      <c r="J80" s="35" t="n">
        <f aca="false">ROUND(J82*(I80/I82),0)</f>
        <v>17</v>
      </c>
      <c r="K80" s="44"/>
      <c r="L80" s="4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" hidden="false" customHeight="true" outlineLevel="0" collapsed="false">
      <c r="A81" s="1"/>
      <c r="B81" s="30" t="s">
        <v>17</v>
      </c>
      <c r="C81" s="31" t="s">
        <v>93</v>
      </c>
      <c r="D81" s="32" t="n">
        <v>7</v>
      </c>
      <c r="E81" s="33" t="n">
        <f aca="false">D81*2</f>
        <v>14</v>
      </c>
      <c r="F81" s="31" t="s">
        <v>72</v>
      </c>
      <c r="G81" s="32" t="n">
        <v>0.67375</v>
      </c>
      <c r="H81" s="32" t="n">
        <v>0.5</v>
      </c>
      <c r="I81" s="34" t="n">
        <f aca="false">E81+G81+H81</f>
        <v>15.17375</v>
      </c>
      <c r="J81" s="35" t="n">
        <f aca="false">J82-(J78+J79+J80)</f>
        <v>20</v>
      </c>
      <c r="K81" s="44"/>
      <c r="L81" s="4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" hidden="false" customHeight="true" outlineLevel="0" collapsed="false">
      <c r="A82" s="1"/>
      <c r="B82" s="36" t="s">
        <v>11</v>
      </c>
      <c r="C82" s="37"/>
      <c r="D82" s="37"/>
      <c r="E82" s="37"/>
      <c r="F82" s="37"/>
      <c r="G82" s="37"/>
      <c r="H82" s="38" t="s">
        <v>73</v>
      </c>
      <c r="I82" s="39" t="n">
        <f aca="false">SUM(I78:I81)</f>
        <v>69.1302</v>
      </c>
      <c r="J82" s="40" t="n">
        <v>87</v>
      </c>
      <c r="K82" s="37"/>
      <c r="L82" s="37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" hidden="false" customHeight="true" outlineLevel="0" collapsed="false">
      <c r="A83" s="1"/>
      <c r="B83" s="1"/>
      <c r="C83" s="1"/>
      <c r="D83" s="1"/>
      <c r="E83" s="1"/>
      <c r="F83" s="1"/>
      <c r="G83" s="1"/>
      <c r="H83" s="22" t="s">
        <v>51</v>
      </c>
      <c r="I83" s="23" t="n">
        <f aca="false">(J82-I82)/J82</f>
        <v>0.2054</v>
      </c>
      <c r="J83" s="24" t="n">
        <f aca="false">J82-I82</f>
        <v>17.8698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2:L2"/>
    <mergeCell ref="B3:L3"/>
    <mergeCell ref="B7:L7"/>
    <mergeCell ref="B13:L13"/>
    <mergeCell ref="B20:L20"/>
    <mergeCell ref="B27:L27"/>
    <mergeCell ref="B35:L35"/>
    <mergeCell ref="B43:L43"/>
    <mergeCell ref="B52:L52"/>
    <mergeCell ref="B62:L62"/>
    <mergeCell ref="B64:L64"/>
    <mergeCell ref="B70:L70"/>
    <mergeCell ref="B77:L7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42"/>
    <col collapsed="false" customWidth="true" hidden="true" outlineLevel="0" max="4" min="4" style="0" width="13"/>
    <col collapsed="false" customWidth="true" hidden="false" outlineLevel="0" max="7" min="5" style="0" width="13"/>
    <col collapsed="false" customWidth="true" hidden="false" outlineLevel="0" max="9" min="8" style="0" width="15"/>
    <col collapsed="false" customWidth="true" hidden="false" outlineLevel="0" max="26" min="10" style="0" width="8.7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17.25" hidden="false" customHeight="true" outlineLevel="0" collapsed="false">
      <c r="A2" s="1"/>
      <c r="B2" s="45" t="s">
        <v>106</v>
      </c>
      <c r="C2" s="45"/>
      <c r="D2" s="45"/>
      <c r="E2" s="45"/>
      <c r="F2" s="45"/>
      <c r="G2" s="45"/>
      <c r="H2" s="45"/>
      <c r="I2" s="45"/>
    </row>
    <row r="3" customFormat="false" ht="15" hidden="false" customHeight="true" outlineLevel="0" collapsed="false">
      <c r="A3" s="1"/>
      <c r="B3" s="26" t="s">
        <v>107</v>
      </c>
      <c r="C3" s="26"/>
      <c r="D3" s="26"/>
      <c r="E3" s="26"/>
      <c r="F3" s="26"/>
      <c r="G3" s="26"/>
      <c r="H3" s="26"/>
      <c r="I3" s="26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15" hidden="false" customHeight="true" outlineLevel="0" collapsed="false">
      <c r="A5" s="1"/>
      <c r="B5" s="46" t="s">
        <v>108</v>
      </c>
      <c r="C5" s="46"/>
      <c r="D5" s="46"/>
      <c r="E5" s="46"/>
      <c r="F5" s="46"/>
      <c r="G5" s="46"/>
      <c r="H5" s="46"/>
      <c r="I5" s="46"/>
    </row>
    <row r="6" customFormat="false" ht="30" hidden="false" customHeight="true" outlineLevel="0" collapsed="false">
      <c r="A6" s="1"/>
      <c r="B6" s="47" t="s">
        <v>109</v>
      </c>
      <c r="C6" s="47" t="s">
        <v>110</v>
      </c>
      <c r="D6" s="47" t="s">
        <v>111</v>
      </c>
      <c r="E6" s="47" t="s">
        <v>112</v>
      </c>
      <c r="F6" s="47" t="s">
        <v>113</v>
      </c>
      <c r="G6" s="47" t="s">
        <v>114</v>
      </c>
      <c r="H6" s="47" t="s">
        <v>115</v>
      </c>
      <c r="I6" s="47" t="s">
        <v>116</v>
      </c>
    </row>
    <row r="7" customFormat="false" ht="15" hidden="false" customHeight="true" outlineLevel="0" collapsed="false">
      <c r="A7" s="1"/>
      <c r="B7" s="48" t="s">
        <v>117</v>
      </c>
      <c r="C7" s="48"/>
      <c r="D7" s="48"/>
      <c r="E7" s="48"/>
      <c r="F7" s="48"/>
      <c r="G7" s="48"/>
      <c r="H7" s="48"/>
      <c r="I7" s="48"/>
    </row>
    <row r="8" customFormat="false" ht="15" hidden="false" customHeight="true" outlineLevel="0" collapsed="false">
      <c r="A8" s="1"/>
      <c r="B8" s="49" t="s">
        <v>118</v>
      </c>
      <c r="C8" s="30" t="s">
        <v>119</v>
      </c>
      <c r="D8" s="32" t="n">
        <v>5.39</v>
      </c>
      <c r="E8" s="43" t="n">
        <v>27</v>
      </c>
      <c r="F8" s="43" t="n">
        <v>23</v>
      </c>
      <c r="G8" s="43" t="n">
        <v>21</v>
      </c>
      <c r="H8" s="43" t="n">
        <v>20</v>
      </c>
      <c r="I8" s="43" t="n">
        <v>27</v>
      </c>
    </row>
    <row r="9" customFormat="false" ht="15" hidden="false" customHeight="true" outlineLevel="0" collapsed="false">
      <c r="A9" s="1"/>
      <c r="B9" s="49" t="s">
        <v>120</v>
      </c>
      <c r="C9" s="30" t="s">
        <v>121</v>
      </c>
      <c r="D9" s="32" t="n">
        <v>4.89</v>
      </c>
      <c r="E9" s="43" t="n">
        <v>25</v>
      </c>
      <c r="F9" s="43" t="n">
        <v>21</v>
      </c>
      <c r="G9" s="43" t="n">
        <v>19</v>
      </c>
      <c r="H9" s="43" t="n">
        <v>19</v>
      </c>
      <c r="I9" s="43" t="n">
        <v>25</v>
      </c>
    </row>
    <row r="10" customFormat="false" ht="15" hidden="false" customHeight="true" outlineLevel="0" collapsed="false">
      <c r="A10" s="1"/>
      <c r="B10" s="49" t="s">
        <v>122</v>
      </c>
      <c r="C10" s="30" t="s">
        <v>123</v>
      </c>
      <c r="D10" s="32" t="n">
        <v>5.89</v>
      </c>
      <c r="E10" s="43" t="n">
        <v>22</v>
      </c>
      <c r="F10" s="43" t="n">
        <v>19</v>
      </c>
      <c r="G10" s="43" t="n">
        <v>18</v>
      </c>
      <c r="H10" s="43" t="n">
        <v>17</v>
      </c>
      <c r="I10" s="43" t="n">
        <v>22</v>
      </c>
    </row>
    <row r="11" customFormat="false" ht="15" hidden="false" customHeight="true" outlineLevel="0" collapsed="false">
      <c r="A11" s="1"/>
      <c r="B11" s="49" t="s">
        <v>124</v>
      </c>
      <c r="C11" s="30" t="s">
        <v>125</v>
      </c>
      <c r="D11" s="32" t="n">
        <v>4.13</v>
      </c>
      <c r="E11" s="43" t="n">
        <v>23</v>
      </c>
      <c r="F11" s="43" t="n">
        <v>19</v>
      </c>
      <c r="G11" s="43" t="n">
        <v>17</v>
      </c>
      <c r="H11" s="43" t="n">
        <v>17</v>
      </c>
      <c r="I11" s="43" t="n">
        <v>23</v>
      </c>
    </row>
    <row r="12" customFormat="false" ht="15" hidden="false" customHeight="true" outlineLevel="0" collapsed="false">
      <c r="A12" s="1"/>
      <c r="B12" s="49" t="s">
        <v>126</v>
      </c>
      <c r="C12" s="30" t="s">
        <v>127</v>
      </c>
      <c r="D12" s="32" t="n">
        <v>6.2</v>
      </c>
      <c r="E12" s="43" t="n">
        <v>30</v>
      </c>
      <c r="F12" s="43" t="n">
        <v>25</v>
      </c>
      <c r="G12" s="43" t="n">
        <v>23</v>
      </c>
      <c r="H12" s="43" t="n">
        <v>22</v>
      </c>
      <c r="I12" s="43" t="n">
        <v>30</v>
      </c>
    </row>
    <row r="13" customFormat="false" ht="15" hidden="false" customHeight="true" outlineLevel="0" collapsed="false">
      <c r="A13" s="1"/>
      <c r="B13" s="49" t="s">
        <v>128</v>
      </c>
      <c r="C13" s="30" t="s">
        <v>129</v>
      </c>
      <c r="D13" s="32" t="n">
        <v>5.68</v>
      </c>
      <c r="E13" s="43" t="n">
        <v>28</v>
      </c>
      <c r="F13" s="43" t="n">
        <v>23</v>
      </c>
      <c r="G13" s="43" t="n">
        <v>21</v>
      </c>
      <c r="H13" s="43" t="n">
        <v>20</v>
      </c>
      <c r="I13" s="43" t="n">
        <v>28</v>
      </c>
    </row>
    <row r="14" customFormat="false" ht="15" hidden="false" customHeight="true" outlineLevel="0" collapsed="false">
      <c r="A14" s="1"/>
      <c r="B14" s="48" t="s">
        <v>130</v>
      </c>
      <c r="C14" s="48"/>
      <c r="D14" s="48"/>
      <c r="E14" s="48"/>
      <c r="F14" s="48"/>
      <c r="G14" s="48"/>
      <c r="H14" s="48"/>
      <c r="I14" s="48"/>
    </row>
    <row r="15" customFormat="false" ht="15" hidden="false" customHeight="true" outlineLevel="0" collapsed="false">
      <c r="A15" s="1"/>
      <c r="B15" s="49" t="s">
        <v>131</v>
      </c>
      <c r="C15" s="30" t="s">
        <v>132</v>
      </c>
      <c r="D15" s="32" t="n">
        <v>9.45</v>
      </c>
      <c r="E15" s="43" t="n">
        <v>41</v>
      </c>
      <c r="F15" s="43" t="n">
        <v>34</v>
      </c>
      <c r="G15" s="43" t="n">
        <v>32</v>
      </c>
      <c r="H15" s="43" t="n">
        <v>30</v>
      </c>
      <c r="I15" s="43" t="n">
        <v>41</v>
      </c>
    </row>
    <row r="16" customFormat="false" ht="15" hidden="false" customHeight="true" outlineLevel="0" collapsed="false">
      <c r="A16" s="1"/>
      <c r="B16" s="49" t="s">
        <v>133</v>
      </c>
      <c r="C16" s="30" t="s">
        <v>134</v>
      </c>
      <c r="D16" s="32" t="n">
        <v>9.01</v>
      </c>
      <c r="E16" s="43" t="n">
        <v>39</v>
      </c>
      <c r="F16" s="43" t="n">
        <v>33</v>
      </c>
      <c r="G16" s="43" t="n">
        <v>30</v>
      </c>
      <c r="H16" s="43" t="n">
        <v>29</v>
      </c>
      <c r="I16" s="43" t="n">
        <v>39</v>
      </c>
    </row>
    <row r="17" customFormat="false" ht="15" hidden="false" customHeight="true" outlineLevel="0" collapsed="false">
      <c r="A17" s="1"/>
      <c r="B17" s="49" t="s">
        <v>135</v>
      </c>
      <c r="C17" s="30" t="s">
        <v>136</v>
      </c>
      <c r="D17" s="32" t="n">
        <v>6.61</v>
      </c>
      <c r="E17" s="43" t="n">
        <v>31</v>
      </c>
      <c r="F17" s="43" t="n">
        <v>26</v>
      </c>
      <c r="G17" s="43" t="n">
        <v>24</v>
      </c>
      <c r="H17" s="43" t="n">
        <v>23</v>
      </c>
      <c r="I17" s="43" t="n">
        <v>31</v>
      </c>
    </row>
    <row r="18" customFormat="false" ht="15" hidden="false" customHeight="true" outlineLevel="0" collapsed="false">
      <c r="A18" s="1"/>
      <c r="B18" s="49" t="s">
        <v>137</v>
      </c>
      <c r="C18" s="30" t="s">
        <v>138</v>
      </c>
      <c r="D18" s="32" t="n">
        <v>5.84</v>
      </c>
      <c r="E18" s="43" t="n">
        <v>22</v>
      </c>
      <c r="F18" s="43" t="n">
        <v>19</v>
      </c>
      <c r="G18" s="43" t="n">
        <v>18</v>
      </c>
      <c r="H18" s="43" t="n">
        <v>17</v>
      </c>
      <c r="I18" s="43" t="n">
        <v>22</v>
      </c>
    </row>
    <row r="19" customFormat="false" ht="15" hidden="false" customHeight="true" outlineLevel="0" collapsed="false">
      <c r="A19" s="1"/>
      <c r="B19" s="49" t="s">
        <v>139</v>
      </c>
      <c r="C19" s="30" t="s">
        <v>140</v>
      </c>
      <c r="D19" s="32" t="n">
        <v>9.73</v>
      </c>
      <c r="E19" s="43" t="n">
        <v>35</v>
      </c>
      <c r="F19" s="43" t="n">
        <v>30</v>
      </c>
      <c r="G19" s="43" t="n">
        <v>28</v>
      </c>
      <c r="H19" s="43" t="n">
        <v>26</v>
      </c>
      <c r="I19" s="43" t="n">
        <v>35</v>
      </c>
    </row>
    <row r="20" customFormat="false" ht="15" hidden="false" customHeight="true" outlineLevel="0" collapsed="false">
      <c r="A20" s="1"/>
      <c r="B20" s="48" t="s">
        <v>141</v>
      </c>
      <c r="C20" s="48"/>
      <c r="D20" s="48"/>
      <c r="E20" s="48"/>
      <c r="F20" s="48"/>
      <c r="G20" s="48"/>
      <c r="H20" s="48"/>
      <c r="I20" s="48"/>
    </row>
    <row r="21" customFormat="false" ht="15" hidden="false" customHeight="true" outlineLevel="0" collapsed="false">
      <c r="A21" s="1"/>
      <c r="B21" s="49" t="s">
        <v>142</v>
      </c>
      <c r="C21" s="30" t="s">
        <v>143</v>
      </c>
      <c r="D21" s="32" t="n">
        <v>4.5</v>
      </c>
      <c r="E21" s="43" t="n">
        <v>24</v>
      </c>
      <c r="F21" s="43" t="n">
        <v>20</v>
      </c>
      <c r="G21" s="43" t="n">
        <v>18</v>
      </c>
      <c r="H21" s="43" t="n">
        <v>18</v>
      </c>
      <c r="I21" s="43" t="n">
        <v>24</v>
      </c>
    </row>
    <row r="22" customFormat="false" ht="15" hidden="false" customHeight="true" outlineLevel="0" collapsed="false">
      <c r="A22" s="1"/>
      <c r="B22" s="49" t="s">
        <v>144</v>
      </c>
      <c r="C22" s="30" t="s">
        <v>145</v>
      </c>
      <c r="D22" s="32" t="n">
        <v>3.99</v>
      </c>
      <c r="E22" s="43" t="n">
        <v>22</v>
      </c>
      <c r="F22" s="43" t="n">
        <v>19</v>
      </c>
      <c r="G22" s="43" t="n">
        <v>17</v>
      </c>
      <c r="H22" s="43" t="n">
        <v>17</v>
      </c>
      <c r="I22" s="43" t="n">
        <v>22</v>
      </c>
    </row>
    <row r="23" customFormat="false" ht="15" hidden="false" customHeight="true" outlineLevel="0" collapsed="false">
      <c r="A23" s="1"/>
      <c r="B23" s="49" t="s">
        <v>146</v>
      </c>
      <c r="C23" s="30" t="s">
        <v>147</v>
      </c>
      <c r="D23" s="32" t="n">
        <v>6</v>
      </c>
      <c r="E23" s="43" t="n">
        <v>29</v>
      </c>
      <c r="F23" s="43" t="n">
        <v>25</v>
      </c>
      <c r="G23" s="43" t="n">
        <v>22</v>
      </c>
      <c r="H23" s="43" t="n">
        <v>22</v>
      </c>
      <c r="I23" s="43" t="n">
        <v>29</v>
      </c>
    </row>
    <row r="24" customFormat="false" ht="15" hidden="false" customHeight="true" outlineLevel="0" collapsed="false">
      <c r="A24" s="1"/>
      <c r="B24" s="49" t="s">
        <v>148</v>
      </c>
      <c r="C24" s="30" t="s">
        <v>149</v>
      </c>
      <c r="D24" s="32" t="n">
        <v>5.5</v>
      </c>
      <c r="E24" s="43" t="n">
        <v>28</v>
      </c>
      <c r="F24" s="43" t="n">
        <v>23</v>
      </c>
      <c r="G24" s="43" t="n">
        <v>21</v>
      </c>
      <c r="H24" s="43" t="n">
        <v>20</v>
      </c>
      <c r="I24" s="43" t="n">
        <v>28</v>
      </c>
    </row>
    <row r="25" customFormat="false" ht="15" hidden="false" customHeight="true" outlineLevel="0" collapsed="false">
      <c r="A25" s="1"/>
      <c r="B25" s="49" t="s">
        <v>150</v>
      </c>
      <c r="C25" s="30" t="s">
        <v>151</v>
      </c>
      <c r="D25" s="32" t="n">
        <v>4.5</v>
      </c>
      <c r="E25" s="43" t="n">
        <v>24</v>
      </c>
      <c r="F25" s="43" t="n">
        <v>20</v>
      </c>
      <c r="G25" s="43" t="n">
        <v>18</v>
      </c>
      <c r="H25" s="43" t="n">
        <v>18</v>
      </c>
      <c r="I25" s="43" t="n">
        <v>24</v>
      </c>
    </row>
    <row r="26" customFormat="false" ht="15" hidden="false" customHeight="true" outlineLevel="0" collapsed="false">
      <c r="A26" s="1"/>
      <c r="B26" s="49" t="s">
        <v>152</v>
      </c>
      <c r="C26" s="30" t="s">
        <v>153</v>
      </c>
      <c r="D26" s="32" t="n">
        <v>10.63</v>
      </c>
      <c r="E26" s="43" t="n">
        <v>45</v>
      </c>
      <c r="F26" s="43" t="n">
        <v>38</v>
      </c>
      <c r="G26" s="43" t="n">
        <v>35</v>
      </c>
      <c r="H26" s="43" t="n">
        <v>33</v>
      </c>
      <c r="I26" s="43" t="n">
        <v>45</v>
      </c>
    </row>
    <row r="27" customFormat="false" ht="15" hidden="false" customHeight="true" outlineLevel="0" collapsed="false">
      <c r="A27" s="1"/>
      <c r="B27" s="49" t="s">
        <v>154</v>
      </c>
      <c r="C27" s="30" t="s">
        <v>155</v>
      </c>
      <c r="D27" s="32" t="n">
        <v>7.89</v>
      </c>
      <c r="E27" s="43" t="n">
        <v>35</v>
      </c>
      <c r="F27" s="43" t="n">
        <v>30</v>
      </c>
      <c r="G27" s="43" t="n">
        <v>27</v>
      </c>
      <c r="H27" s="43" t="n">
        <v>26</v>
      </c>
      <c r="I27" s="43" t="n">
        <v>35</v>
      </c>
    </row>
    <row r="28" customFormat="false" ht="15" hidden="false" customHeight="true" outlineLevel="0" collapsed="false">
      <c r="A28" s="1"/>
      <c r="B28" s="49" t="s">
        <v>156</v>
      </c>
      <c r="C28" s="30" t="s">
        <v>157</v>
      </c>
      <c r="D28" s="32" t="n">
        <v>15.59</v>
      </c>
      <c r="E28" s="43" t="n">
        <v>61</v>
      </c>
      <c r="F28" s="43" t="n">
        <v>52</v>
      </c>
      <c r="G28" s="43" t="n">
        <v>48</v>
      </c>
      <c r="H28" s="43" t="n">
        <v>46</v>
      </c>
      <c r="I28" s="43" t="n">
        <v>61</v>
      </c>
    </row>
    <row r="29" customFormat="false" ht="15" hidden="false" customHeight="true" outlineLevel="0" collapsed="false">
      <c r="A29" s="1"/>
      <c r="B29" s="49" t="s">
        <v>158</v>
      </c>
      <c r="C29" s="30" t="s">
        <v>159</v>
      </c>
      <c r="D29" s="32" t="n">
        <v>12.65</v>
      </c>
      <c r="E29" s="43" t="n">
        <v>51</v>
      </c>
      <c r="F29" s="43" t="n">
        <v>44</v>
      </c>
      <c r="G29" s="43" t="n">
        <v>40</v>
      </c>
      <c r="H29" s="43" t="n">
        <v>38</v>
      </c>
      <c r="I29" s="43" t="n">
        <v>51</v>
      </c>
    </row>
    <row r="30" customFormat="false" ht="15" hidden="false" customHeight="true" outlineLevel="0" collapsed="false">
      <c r="A30" s="1"/>
      <c r="B30" s="49" t="s">
        <v>160</v>
      </c>
      <c r="C30" s="30" t="s">
        <v>161</v>
      </c>
      <c r="D30" s="32" t="n">
        <v>11.1</v>
      </c>
      <c r="E30" s="43" t="n">
        <v>46</v>
      </c>
      <c r="F30" s="43" t="n">
        <v>39</v>
      </c>
      <c r="G30" s="43" t="n">
        <v>36</v>
      </c>
      <c r="H30" s="43" t="n">
        <v>34</v>
      </c>
      <c r="I30" s="43" t="n">
        <v>46</v>
      </c>
    </row>
    <row r="31" customFormat="false" ht="15" hidden="false" customHeight="true" outlineLevel="0" collapsed="false">
      <c r="A31" s="1"/>
      <c r="B31" s="49" t="s">
        <v>162</v>
      </c>
      <c r="C31" s="30" t="s">
        <v>163</v>
      </c>
      <c r="D31" s="32" t="n">
        <v>10.34</v>
      </c>
      <c r="E31" s="43" t="n">
        <v>44</v>
      </c>
      <c r="F31" s="43" t="n">
        <v>37</v>
      </c>
      <c r="G31" s="43" t="n">
        <v>34</v>
      </c>
      <c r="H31" s="43" t="n">
        <v>32</v>
      </c>
      <c r="I31" s="43" t="n">
        <v>44</v>
      </c>
    </row>
    <row r="32" customFormat="false" ht="15" hidden="false" customHeight="true" outlineLevel="0" collapsed="false">
      <c r="A32" s="1"/>
      <c r="B32" s="49" t="s">
        <v>164</v>
      </c>
      <c r="C32" s="30" t="s">
        <v>165</v>
      </c>
      <c r="D32" s="32" t="n">
        <v>7.23</v>
      </c>
      <c r="E32" s="43" t="n">
        <v>30</v>
      </c>
      <c r="F32" s="43" t="n">
        <v>25</v>
      </c>
      <c r="G32" s="43" t="n">
        <v>23</v>
      </c>
      <c r="H32" s="43" t="n">
        <v>22</v>
      </c>
      <c r="I32" s="43" t="n">
        <v>30</v>
      </c>
    </row>
    <row r="33" customFormat="false" ht="15" hidden="false" customHeight="true" outlineLevel="0" collapsed="false">
      <c r="A33" s="1"/>
      <c r="B33" s="49" t="s">
        <v>166</v>
      </c>
      <c r="C33" s="30" t="s">
        <v>167</v>
      </c>
      <c r="D33" s="32" t="n">
        <v>4.15</v>
      </c>
      <c r="E33" s="43" t="n">
        <v>16</v>
      </c>
      <c r="F33" s="43" t="n">
        <v>14</v>
      </c>
      <c r="G33" s="43" t="n">
        <v>13</v>
      </c>
      <c r="H33" s="43" t="n">
        <v>12</v>
      </c>
      <c r="I33" s="43" t="n">
        <v>16</v>
      </c>
    </row>
    <row r="34" customFormat="false" ht="15" hidden="false" customHeight="true" outlineLevel="0" collapsed="false">
      <c r="A34" s="1"/>
      <c r="B34" s="49" t="s">
        <v>168</v>
      </c>
      <c r="C34" s="30" t="s">
        <v>169</v>
      </c>
      <c r="D34" s="32" t="n">
        <v>4.15</v>
      </c>
      <c r="E34" s="43" t="n">
        <v>16</v>
      </c>
      <c r="F34" s="43" t="n">
        <v>14</v>
      </c>
      <c r="G34" s="43" t="n">
        <v>13</v>
      </c>
      <c r="H34" s="43" t="n">
        <v>12</v>
      </c>
      <c r="I34" s="43" t="n">
        <v>16</v>
      </c>
    </row>
    <row r="35" customFormat="false" ht="15" hidden="false" customHeight="true" outlineLevel="0" collapsed="false">
      <c r="A35" s="1"/>
      <c r="B35" s="49" t="s">
        <v>170</v>
      </c>
      <c r="C35" s="30" t="s">
        <v>171</v>
      </c>
      <c r="D35" s="32" t="n">
        <v>4.15</v>
      </c>
      <c r="E35" s="43" t="n">
        <v>16</v>
      </c>
      <c r="F35" s="43" t="n">
        <v>14</v>
      </c>
      <c r="G35" s="43" t="n">
        <v>13</v>
      </c>
      <c r="H35" s="43" t="n">
        <v>12</v>
      </c>
      <c r="I35" s="43" t="n">
        <v>16</v>
      </c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5" hidden="false" customHeight="true" outlineLevel="0" collapsed="false">
      <c r="A37" s="1"/>
      <c r="B37" s="50" t="s">
        <v>172</v>
      </c>
      <c r="C37" s="50"/>
      <c r="D37" s="50"/>
      <c r="E37" s="50"/>
      <c r="F37" s="50"/>
      <c r="G37" s="50"/>
      <c r="H37" s="50"/>
      <c r="I37" s="50"/>
    </row>
    <row r="38" customFormat="false" ht="15" hidden="false" customHeight="true" outlineLevel="0" collapsed="false">
      <c r="A38" s="1"/>
      <c r="B38" s="50" t="s">
        <v>173</v>
      </c>
      <c r="C38" s="50"/>
      <c r="D38" s="50"/>
      <c r="E38" s="50"/>
      <c r="F38" s="50"/>
      <c r="G38" s="50"/>
      <c r="H38" s="50"/>
      <c r="I38" s="50"/>
    </row>
    <row r="39" customFormat="false" ht="15" hidden="false" customHeight="true" outlineLevel="0" collapsed="false">
      <c r="A39" s="1"/>
      <c r="B39" s="50" t="s">
        <v>174</v>
      </c>
      <c r="C39" s="50"/>
      <c r="D39" s="50"/>
      <c r="E39" s="50"/>
      <c r="F39" s="50"/>
      <c r="G39" s="50"/>
      <c r="H39" s="50"/>
      <c r="I39" s="50"/>
    </row>
    <row r="40" customFormat="false" ht="15" hidden="false" customHeight="true" outlineLevel="0" collapsed="false">
      <c r="A40" s="1"/>
      <c r="B40" s="50" t="s">
        <v>175</v>
      </c>
      <c r="C40" s="50"/>
      <c r="D40" s="50"/>
      <c r="E40" s="50"/>
      <c r="F40" s="50"/>
      <c r="G40" s="50"/>
      <c r="H40" s="50"/>
      <c r="I40" s="50"/>
    </row>
    <row r="41" customFormat="false" ht="15" hidden="false" customHeight="true" outlineLevel="0" collapsed="false">
      <c r="A41" s="1"/>
      <c r="B41" s="50" t="s">
        <v>176</v>
      </c>
      <c r="C41" s="50"/>
      <c r="D41" s="50"/>
      <c r="E41" s="50"/>
      <c r="F41" s="50"/>
      <c r="G41" s="50"/>
      <c r="H41" s="50"/>
      <c r="I41" s="50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5" hidden="false" customHeight="true" outlineLevel="0" collapsed="false">
      <c r="A44" s="1"/>
      <c r="B44" s="46" t="s">
        <v>177</v>
      </c>
      <c r="C44" s="46"/>
      <c r="D44" s="46"/>
      <c r="E44" s="46"/>
      <c r="F44" s="46"/>
      <c r="G44" s="46"/>
      <c r="H44" s="46"/>
      <c r="I44" s="46"/>
    </row>
    <row r="45" customFormat="false" ht="30" hidden="false" customHeight="true" outlineLevel="0" collapsed="false">
      <c r="A45" s="1"/>
      <c r="B45" s="47" t="s">
        <v>109</v>
      </c>
      <c r="C45" s="47" t="s">
        <v>110</v>
      </c>
      <c r="D45" s="47" t="s">
        <v>111</v>
      </c>
      <c r="E45" s="47" t="s">
        <v>112</v>
      </c>
      <c r="F45" s="47" t="s">
        <v>113</v>
      </c>
      <c r="G45" s="47" t="s">
        <v>114</v>
      </c>
      <c r="H45" s="47" t="s">
        <v>115</v>
      </c>
      <c r="I45" s="47" t="s">
        <v>116</v>
      </c>
    </row>
    <row r="46" customFormat="false" ht="15" hidden="false" customHeight="true" outlineLevel="0" collapsed="false">
      <c r="A46" s="1"/>
      <c r="B46" s="48" t="s">
        <v>178</v>
      </c>
      <c r="C46" s="48"/>
      <c r="D46" s="48"/>
      <c r="E46" s="48"/>
      <c r="F46" s="48"/>
      <c r="G46" s="48"/>
      <c r="H46" s="48"/>
      <c r="I46" s="48"/>
    </row>
    <row r="47" customFormat="false" ht="15" hidden="false" customHeight="true" outlineLevel="0" collapsed="false">
      <c r="A47" s="1"/>
      <c r="B47" s="49" t="s">
        <v>179</v>
      </c>
      <c r="C47" s="30" t="s">
        <v>180</v>
      </c>
      <c r="D47" s="32" t="n">
        <v>5.68</v>
      </c>
      <c r="E47" s="43" t="n">
        <v>28</v>
      </c>
      <c r="F47" s="43" t="n">
        <v>24</v>
      </c>
      <c r="G47" s="43" t="n">
        <v>22</v>
      </c>
      <c r="H47" s="43" t="n">
        <v>21</v>
      </c>
      <c r="I47" s="43" t="n">
        <v>28</v>
      </c>
    </row>
    <row r="48" customFormat="false" ht="15" hidden="false" customHeight="true" outlineLevel="0" collapsed="false">
      <c r="A48" s="1"/>
      <c r="B48" s="49" t="s">
        <v>181</v>
      </c>
      <c r="C48" s="30" t="s">
        <v>182</v>
      </c>
      <c r="D48" s="32" t="n">
        <v>8.27</v>
      </c>
      <c r="E48" s="43" t="n">
        <v>37</v>
      </c>
      <c r="F48" s="43" t="n">
        <v>31</v>
      </c>
      <c r="G48" s="43" t="n">
        <v>28</v>
      </c>
      <c r="H48" s="43" t="n">
        <v>27</v>
      </c>
      <c r="I48" s="43" t="n">
        <v>37</v>
      </c>
    </row>
    <row r="49" customFormat="false" ht="15" hidden="false" customHeight="true" outlineLevel="0" collapsed="false">
      <c r="A49" s="1"/>
      <c r="B49" s="49" t="s">
        <v>183</v>
      </c>
      <c r="C49" s="30" t="s">
        <v>184</v>
      </c>
      <c r="D49" s="32" t="n">
        <v>4.65</v>
      </c>
      <c r="E49" s="43" t="n">
        <v>25</v>
      </c>
      <c r="F49" s="43" t="n">
        <v>21</v>
      </c>
      <c r="G49" s="43" t="n">
        <v>19</v>
      </c>
      <c r="H49" s="43" t="n">
        <v>18</v>
      </c>
      <c r="I49" s="43" t="n">
        <v>25</v>
      </c>
    </row>
    <row r="50" customFormat="false" ht="15" hidden="false" customHeight="true" outlineLevel="0" collapsed="false">
      <c r="A50" s="1"/>
      <c r="B50" s="49" t="s">
        <v>185</v>
      </c>
      <c r="C50" s="30" t="s">
        <v>186</v>
      </c>
      <c r="D50" s="32" t="n">
        <v>10.86</v>
      </c>
      <c r="E50" s="43" t="n">
        <v>45</v>
      </c>
      <c r="F50" s="43" t="n">
        <v>38</v>
      </c>
      <c r="G50" s="43" t="n">
        <v>35</v>
      </c>
      <c r="H50" s="43" t="n">
        <v>34</v>
      </c>
      <c r="I50" s="43" t="n">
        <v>45</v>
      </c>
    </row>
    <row r="51" customFormat="false" ht="15" hidden="false" customHeight="true" outlineLevel="0" collapsed="false">
      <c r="A51" s="1"/>
      <c r="B51" s="49" t="s">
        <v>187</v>
      </c>
      <c r="C51" s="30" t="s">
        <v>188</v>
      </c>
      <c r="D51" s="32" t="n">
        <v>7.23</v>
      </c>
      <c r="E51" s="43" t="n">
        <v>33</v>
      </c>
      <c r="F51" s="43" t="n">
        <v>28</v>
      </c>
      <c r="G51" s="43" t="n">
        <v>26</v>
      </c>
      <c r="H51" s="43" t="n">
        <v>25</v>
      </c>
      <c r="I51" s="43" t="n">
        <v>33</v>
      </c>
    </row>
    <row r="52" customFormat="false" ht="15" hidden="false" customHeight="true" outlineLevel="0" collapsed="false">
      <c r="A52" s="1"/>
      <c r="B52" s="49" t="s">
        <v>189</v>
      </c>
      <c r="C52" s="30" t="s">
        <v>190</v>
      </c>
      <c r="D52" s="32" t="n">
        <v>6.72</v>
      </c>
      <c r="E52" s="43" t="n">
        <v>32</v>
      </c>
      <c r="F52" s="43" t="n">
        <v>27</v>
      </c>
      <c r="G52" s="43" t="n">
        <v>24</v>
      </c>
      <c r="H52" s="43" t="n">
        <v>23</v>
      </c>
      <c r="I52" s="43" t="n">
        <v>32</v>
      </c>
    </row>
    <row r="53" customFormat="false" ht="15" hidden="false" customHeight="true" outlineLevel="0" collapsed="false">
      <c r="A53" s="1"/>
      <c r="B53" s="49" t="s">
        <v>191</v>
      </c>
      <c r="C53" s="30" t="s">
        <v>192</v>
      </c>
      <c r="D53" s="32" t="n">
        <v>16.55</v>
      </c>
      <c r="E53" s="43" t="n">
        <v>64</v>
      </c>
      <c r="F53" s="43" t="n">
        <v>55</v>
      </c>
      <c r="G53" s="43" t="n">
        <v>51</v>
      </c>
      <c r="H53" s="43" t="n">
        <v>48</v>
      </c>
      <c r="I53" s="43" t="n">
        <v>64</v>
      </c>
    </row>
    <row r="54" customFormat="false" ht="15" hidden="false" customHeight="true" outlineLevel="0" collapsed="false">
      <c r="A54" s="1"/>
      <c r="B54" s="49" t="s">
        <v>193</v>
      </c>
      <c r="C54" s="30" t="s">
        <v>194</v>
      </c>
      <c r="D54" s="32" t="n">
        <v>5.16</v>
      </c>
      <c r="E54" s="43" t="n">
        <v>26</v>
      </c>
      <c r="F54" s="43" t="n">
        <v>22</v>
      </c>
      <c r="G54" s="43" t="n">
        <v>20</v>
      </c>
      <c r="H54" s="43" t="n">
        <v>19</v>
      </c>
      <c r="I54" s="43" t="n">
        <v>26</v>
      </c>
    </row>
    <row r="55" customFormat="false" ht="15" hidden="false" customHeight="true" outlineLevel="0" collapsed="false">
      <c r="A55" s="1"/>
      <c r="B55" s="49" t="s">
        <v>195</v>
      </c>
      <c r="C55" s="30" t="s">
        <v>196</v>
      </c>
      <c r="D55" s="32" t="n">
        <v>6.2</v>
      </c>
      <c r="E55" s="43" t="n">
        <v>30</v>
      </c>
      <c r="F55" s="43" t="n">
        <v>25</v>
      </c>
      <c r="G55" s="43" t="n">
        <v>23</v>
      </c>
      <c r="H55" s="43" t="n">
        <v>22</v>
      </c>
      <c r="I55" s="43" t="n">
        <v>30</v>
      </c>
    </row>
    <row r="56" customFormat="false" ht="15" hidden="false" customHeight="true" outlineLevel="0" collapsed="false">
      <c r="A56" s="1"/>
      <c r="B56" s="49" t="s">
        <v>197</v>
      </c>
      <c r="C56" s="30" t="s">
        <v>198</v>
      </c>
      <c r="D56" s="32" t="n">
        <v>14.49</v>
      </c>
      <c r="E56" s="43" t="n">
        <v>57</v>
      </c>
      <c r="F56" s="43" t="n">
        <v>49</v>
      </c>
      <c r="G56" s="43" t="n">
        <v>45</v>
      </c>
      <c r="H56" s="43" t="n">
        <v>43</v>
      </c>
      <c r="I56" s="43" t="n">
        <v>57</v>
      </c>
    </row>
    <row r="57" customFormat="false" ht="15" hidden="false" customHeight="true" outlineLevel="0" collapsed="false">
      <c r="A57" s="1"/>
      <c r="B57" s="49" t="s">
        <v>199</v>
      </c>
      <c r="C57" s="30" t="s">
        <v>200</v>
      </c>
      <c r="D57" s="32" t="n">
        <v>4.49</v>
      </c>
      <c r="E57" s="43" t="n">
        <v>24</v>
      </c>
      <c r="F57" s="43" t="n">
        <v>20</v>
      </c>
      <c r="G57" s="43" t="n">
        <v>18</v>
      </c>
      <c r="H57" s="43" t="n">
        <v>18</v>
      </c>
      <c r="I57" s="43" t="n">
        <v>24</v>
      </c>
    </row>
    <row r="58" customFormat="false" ht="15" hidden="false" customHeight="true" outlineLevel="0" collapsed="false">
      <c r="A58" s="1"/>
      <c r="B58" s="49" t="s">
        <v>144</v>
      </c>
      <c r="C58" s="30" t="s">
        <v>201</v>
      </c>
      <c r="D58" s="32" t="n">
        <v>3.99</v>
      </c>
      <c r="E58" s="43" t="n">
        <v>22</v>
      </c>
      <c r="F58" s="43" t="n">
        <v>19</v>
      </c>
      <c r="G58" s="43" t="n">
        <v>17</v>
      </c>
      <c r="H58" s="43" t="n">
        <v>17</v>
      </c>
      <c r="I58" s="43" t="n">
        <v>22</v>
      </c>
    </row>
    <row r="59" customFormat="false" ht="15" hidden="false" customHeight="true" outlineLevel="0" collapsed="false">
      <c r="A59" s="1"/>
      <c r="B59" s="49" t="s">
        <v>202</v>
      </c>
      <c r="C59" s="30" t="s">
        <v>203</v>
      </c>
      <c r="D59" s="32" t="n">
        <v>4.36</v>
      </c>
      <c r="E59" s="43" t="n">
        <v>24</v>
      </c>
      <c r="F59" s="43" t="n">
        <v>20</v>
      </c>
      <c r="G59" s="43" t="n">
        <v>18</v>
      </c>
      <c r="H59" s="43" t="n">
        <v>17</v>
      </c>
      <c r="I59" s="43" t="n">
        <v>24</v>
      </c>
    </row>
    <row r="60" customFormat="false" ht="15" hidden="false" customHeight="true" outlineLevel="0" collapsed="false">
      <c r="A60" s="1"/>
      <c r="B60" s="49" t="s">
        <v>146</v>
      </c>
      <c r="C60" s="30" t="s">
        <v>204</v>
      </c>
      <c r="D60" s="32" t="n">
        <v>6.99</v>
      </c>
      <c r="E60" s="43" t="n">
        <v>32</v>
      </c>
      <c r="F60" s="43" t="n">
        <v>27</v>
      </c>
      <c r="G60" s="43" t="n">
        <v>25</v>
      </c>
      <c r="H60" s="43" t="n">
        <v>24</v>
      </c>
      <c r="I60" s="43" t="n">
        <v>32</v>
      </c>
    </row>
    <row r="61" customFormat="false" ht="15" hidden="false" customHeight="true" outlineLevel="0" collapsed="false">
      <c r="A61" s="1"/>
      <c r="B61" s="49" t="s">
        <v>148</v>
      </c>
      <c r="C61" s="30" t="s">
        <v>205</v>
      </c>
      <c r="D61" s="32" t="n">
        <v>6.37</v>
      </c>
      <c r="E61" s="43" t="n">
        <v>30</v>
      </c>
      <c r="F61" s="43" t="n">
        <v>26</v>
      </c>
      <c r="G61" s="43" t="n">
        <v>23</v>
      </c>
      <c r="H61" s="43" t="n">
        <v>22</v>
      </c>
      <c r="I61" s="43" t="n">
        <v>30</v>
      </c>
    </row>
    <row r="62" customFormat="false" ht="15" hidden="false" customHeight="true" outlineLevel="0" collapsed="false">
      <c r="A62" s="1"/>
      <c r="B62" s="48" t="s">
        <v>206</v>
      </c>
      <c r="C62" s="48"/>
      <c r="D62" s="48"/>
      <c r="E62" s="48"/>
      <c r="F62" s="48"/>
      <c r="G62" s="48"/>
      <c r="H62" s="48"/>
      <c r="I62" s="48"/>
    </row>
    <row r="63" customFormat="false" ht="15" hidden="false" customHeight="true" outlineLevel="0" collapsed="false">
      <c r="A63" s="1"/>
      <c r="B63" s="49" t="s">
        <v>207</v>
      </c>
      <c r="C63" s="30" t="s">
        <v>208</v>
      </c>
      <c r="D63" s="32" t="n">
        <v>11.37</v>
      </c>
      <c r="E63" s="43" t="n">
        <v>40</v>
      </c>
      <c r="F63" s="43" t="n">
        <v>35</v>
      </c>
      <c r="G63" s="43" t="n">
        <v>32</v>
      </c>
      <c r="H63" s="43" t="n">
        <v>30</v>
      </c>
      <c r="I63" s="43" t="n">
        <v>40</v>
      </c>
    </row>
    <row r="64" customFormat="false" ht="15" hidden="false" customHeight="true" outlineLevel="0" collapsed="false">
      <c r="A64" s="1"/>
      <c r="B64" s="49" t="s">
        <v>209</v>
      </c>
      <c r="C64" s="30" t="s">
        <v>210</v>
      </c>
      <c r="D64" s="32" t="n">
        <v>16.55</v>
      </c>
      <c r="E64" s="43" t="n">
        <v>64</v>
      </c>
      <c r="F64" s="43" t="n">
        <v>55</v>
      </c>
      <c r="G64" s="43" t="n">
        <v>51</v>
      </c>
      <c r="H64" s="43" t="n">
        <v>48</v>
      </c>
      <c r="I64" s="43" t="n">
        <v>64</v>
      </c>
    </row>
    <row r="65" customFormat="false" ht="15" hidden="false" customHeight="true" outlineLevel="0" collapsed="false">
      <c r="A65" s="1"/>
      <c r="B65" s="49" t="s">
        <v>211</v>
      </c>
      <c r="C65" s="30" t="s">
        <v>212</v>
      </c>
      <c r="D65" s="32" t="n">
        <v>25.86</v>
      </c>
      <c r="E65" s="43" t="n">
        <v>95</v>
      </c>
      <c r="F65" s="43" t="n">
        <v>81</v>
      </c>
      <c r="G65" s="43" t="n">
        <v>75</v>
      </c>
      <c r="H65" s="43" t="n">
        <v>71</v>
      </c>
      <c r="I65" s="43" t="n">
        <v>95</v>
      </c>
    </row>
    <row r="66" customFormat="false" ht="15" hidden="false" customHeight="true" outlineLevel="0" collapsed="false">
      <c r="A66" s="1"/>
      <c r="B66" s="49" t="s">
        <v>213</v>
      </c>
      <c r="C66" s="30" t="s">
        <v>214</v>
      </c>
      <c r="D66" s="32" t="n">
        <v>25.86</v>
      </c>
      <c r="E66" s="43" t="n">
        <v>95</v>
      </c>
      <c r="F66" s="43" t="n">
        <v>81</v>
      </c>
      <c r="G66" s="43" t="n">
        <v>75</v>
      </c>
      <c r="H66" s="43" t="n">
        <v>71</v>
      </c>
      <c r="I66" s="43" t="n">
        <v>95</v>
      </c>
    </row>
    <row r="67" customFormat="false" ht="15" hidden="false" customHeight="true" outlineLevel="0" collapsed="false">
      <c r="A67" s="1"/>
      <c r="B67" s="49" t="s">
        <v>166</v>
      </c>
      <c r="C67" s="30" t="s">
        <v>215</v>
      </c>
      <c r="D67" s="32" t="n">
        <v>4.15</v>
      </c>
      <c r="E67" s="43" t="n">
        <v>16</v>
      </c>
      <c r="F67" s="43" t="n">
        <v>14</v>
      </c>
      <c r="G67" s="43" t="n">
        <v>13</v>
      </c>
      <c r="H67" s="43" t="n">
        <v>12</v>
      </c>
      <c r="I67" s="43" t="n">
        <v>16</v>
      </c>
    </row>
    <row r="68" customFormat="false" ht="15" hidden="false" customHeight="true" outlineLevel="0" collapsed="false">
      <c r="A68" s="1"/>
      <c r="B68" s="49" t="s">
        <v>168</v>
      </c>
      <c r="C68" s="30" t="s">
        <v>216</v>
      </c>
      <c r="D68" s="32" t="n">
        <v>4.15</v>
      </c>
      <c r="E68" s="43" t="n">
        <v>16</v>
      </c>
      <c r="F68" s="43" t="n">
        <v>14</v>
      </c>
      <c r="G68" s="43" t="n">
        <v>13</v>
      </c>
      <c r="H68" s="43" t="n">
        <v>12</v>
      </c>
      <c r="I68" s="43" t="n">
        <v>16</v>
      </c>
    </row>
    <row r="69" customFormat="false" ht="15" hidden="false" customHeight="true" outlineLevel="0" collapsed="false">
      <c r="A69" s="1"/>
      <c r="B69" s="49" t="s">
        <v>170</v>
      </c>
      <c r="C69" s="30" t="s">
        <v>171</v>
      </c>
      <c r="D69" s="32" t="n">
        <v>4.15</v>
      </c>
      <c r="E69" s="43" t="n">
        <v>16</v>
      </c>
      <c r="F69" s="43" t="n">
        <v>14</v>
      </c>
      <c r="G69" s="43" t="n">
        <v>13</v>
      </c>
      <c r="H69" s="43" t="n">
        <v>12</v>
      </c>
      <c r="I69" s="43" t="n">
        <v>16</v>
      </c>
    </row>
    <row r="70" customFormat="false" ht="15" hidden="false" customHeight="true" outlineLevel="0" collapsed="false">
      <c r="A70" s="1"/>
      <c r="B70" s="48" t="s">
        <v>217</v>
      </c>
      <c r="C70" s="48"/>
      <c r="D70" s="48"/>
      <c r="E70" s="48"/>
      <c r="F70" s="48"/>
      <c r="G70" s="48"/>
      <c r="H70" s="48"/>
      <c r="I70" s="48"/>
    </row>
    <row r="71" customFormat="false" ht="15" hidden="false" customHeight="true" outlineLevel="0" collapsed="false">
      <c r="A71" s="1"/>
      <c r="B71" s="49" t="s">
        <v>218</v>
      </c>
      <c r="C71" s="30" t="s">
        <v>219</v>
      </c>
      <c r="D71" s="32" t="n">
        <v>16.55</v>
      </c>
      <c r="E71" s="43" t="n">
        <v>64</v>
      </c>
      <c r="F71" s="43" t="n">
        <v>55</v>
      </c>
      <c r="G71" s="43" t="n">
        <v>51</v>
      </c>
      <c r="H71" s="43" t="n">
        <v>48</v>
      </c>
      <c r="I71" s="43" t="n">
        <v>64</v>
      </c>
    </row>
    <row r="72" customFormat="false" ht="15" hidden="false" customHeight="true" outlineLevel="0" collapsed="false">
      <c r="A72" s="1"/>
      <c r="B72" s="49" t="s">
        <v>220</v>
      </c>
      <c r="C72" s="30" t="s">
        <v>221</v>
      </c>
      <c r="D72" s="32" t="n">
        <v>13.44</v>
      </c>
      <c r="E72" s="43" t="n">
        <v>54</v>
      </c>
      <c r="F72" s="43" t="n">
        <v>46</v>
      </c>
      <c r="G72" s="43" t="n">
        <v>42</v>
      </c>
      <c r="H72" s="43" t="n">
        <v>40</v>
      </c>
      <c r="I72" s="43" t="n">
        <v>54</v>
      </c>
    </row>
    <row r="73" customFormat="false" ht="15" hidden="false" customHeight="true" outlineLevel="0" collapsed="false">
      <c r="A73" s="1"/>
      <c r="B73" s="49" t="s">
        <v>222</v>
      </c>
      <c r="C73" s="30" t="s">
        <v>223</v>
      </c>
      <c r="D73" s="32" t="n">
        <v>20.69</v>
      </c>
      <c r="E73" s="43" t="n">
        <v>78</v>
      </c>
      <c r="F73" s="43" t="n">
        <v>67</v>
      </c>
      <c r="G73" s="43" t="n">
        <v>62</v>
      </c>
      <c r="H73" s="43" t="n">
        <v>58</v>
      </c>
      <c r="I73" s="43" t="n">
        <v>78</v>
      </c>
    </row>
    <row r="74" customFormat="false" ht="15" hidden="false" customHeight="true" outlineLevel="0" collapsed="false">
      <c r="A74" s="1"/>
      <c r="B74" s="49" t="s">
        <v>224</v>
      </c>
      <c r="C74" s="30" t="s">
        <v>225</v>
      </c>
      <c r="D74" s="32" t="n">
        <v>18.62</v>
      </c>
      <c r="E74" s="43" t="n">
        <v>71</v>
      </c>
      <c r="F74" s="43" t="n">
        <v>61</v>
      </c>
      <c r="G74" s="43" t="n">
        <v>56</v>
      </c>
      <c r="H74" s="43" t="n">
        <v>53</v>
      </c>
      <c r="I74" s="43" t="n">
        <v>71</v>
      </c>
    </row>
    <row r="75" customFormat="false" ht="15" hidden="false" customHeight="true" outlineLevel="0" collapsed="false">
      <c r="A75" s="1"/>
      <c r="B75" s="49" t="s">
        <v>226</v>
      </c>
      <c r="C75" s="30" t="s">
        <v>227</v>
      </c>
      <c r="D75" s="32" t="n">
        <v>18.62</v>
      </c>
      <c r="E75" s="43" t="n">
        <v>71</v>
      </c>
      <c r="F75" s="43" t="n">
        <v>61</v>
      </c>
      <c r="G75" s="43" t="n">
        <v>56</v>
      </c>
      <c r="H75" s="43" t="n">
        <v>53</v>
      </c>
      <c r="I75" s="43" t="n">
        <v>71</v>
      </c>
    </row>
    <row r="76" customFormat="false" ht="15" hidden="false" customHeight="true" outlineLevel="0" collapsed="false">
      <c r="A76" s="1"/>
      <c r="B76" s="49" t="s">
        <v>228</v>
      </c>
      <c r="C76" s="30" t="s">
        <v>229</v>
      </c>
      <c r="D76" s="32" t="n">
        <v>24.83</v>
      </c>
      <c r="E76" s="43" t="n">
        <v>92</v>
      </c>
      <c r="F76" s="43" t="n">
        <v>78</v>
      </c>
      <c r="G76" s="43" t="n">
        <v>73</v>
      </c>
      <c r="H76" s="43" t="n">
        <v>69</v>
      </c>
      <c r="I76" s="43" t="n">
        <v>92</v>
      </c>
    </row>
    <row r="77" customFormat="false" ht="15" hidden="false" customHeight="true" outlineLevel="0" collapsed="false">
      <c r="A77" s="1"/>
      <c r="B77" s="49" t="s">
        <v>230</v>
      </c>
      <c r="C77" s="30" t="s">
        <v>231</v>
      </c>
      <c r="D77" s="32" t="n">
        <v>21.72</v>
      </c>
      <c r="E77" s="43" t="n">
        <v>82</v>
      </c>
      <c r="F77" s="43" t="n">
        <v>69</v>
      </c>
      <c r="G77" s="43" t="n">
        <v>64</v>
      </c>
      <c r="H77" s="43" t="n">
        <v>61</v>
      </c>
      <c r="I77" s="43" t="n">
        <v>82</v>
      </c>
    </row>
    <row r="78" customFormat="false" ht="15" hidden="false" customHeight="true" outlineLevel="0" collapsed="false">
      <c r="A78" s="1"/>
      <c r="B78" s="49" t="s">
        <v>232</v>
      </c>
      <c r="C78" s="30" t="s">
        <v>233</v>
      </c>
      <c r="D78" s="32" t="n">
        <v>31.66</v>
      </c>
      <c r="E78" s="43" t="n">
        <v>115</v>
      </c>
      <c r="F78" s="43" t="n">
        <v>98</v>
      </c>
      <c r="G78" s="43" t="n">
        <v>91</v>
      </c>
      <c r="H78" s="43" t="n">
        <v>86</v>
      </c>
      <c r="I78" s="43" t="n">
        <v>115</v>
      </c>
    </row>
    <row r="79" customFormat="false" ht="15" hidden="false" customHeight="true" outlineLevel="0" collapsed="false">
      <c r="A79" s="1"/>
      <c r="B79" s="49" t="s">
        <v>234</v>
      </c>
      <c r="C79" s="30" t="s">
        <v>235</v>
      </c>
      <c r="D79" s="32" t="n">
        <v>30</v>
      </c>
      <c r="E79" s="43" t="n">
        <v>109</v>
      </c>
      <c r="F79" s="43" t="n">
        <v>93</v>
      </c>
      <c r="G79" s="43" t="n">
        <v>86</v>
      </c>
      <c r="H79" s="43" t="n">
        <v>82</v>
      </c>
      <c r="I79" s="43" t="n">
        <v>109</v>
      </c>
    </row>
    <row r="80" customFormat="false" ht="15" hidden="false" customHeight="true" outlineLevel="0" collapsed="false">
      <c r="A80" s="1"/>
      <c r="B80" s="49" t="s">
        <v>236</v>
      </c>
      <c r="C80" s="30" t="s">
        <v>237</v>
      </c>
      <c r="D80" s="32" t="n">
        <v>17.55</v>
      </c>
      <c r="E80" s="43" t="n">
        <v>68</v>
      </c>
      <c r="F80" s="43" t="n">
        <v>58</v>
      </c>
      <c r="G80" s="43" t="n">
        <v>53</v>
      </c>
      <c r="H80" s="43" t="n">
        <v>50</v>
      </c>
      <c r="I80" s="43" t="n">
        <v>68</v>
      </c>
    </row>
    <row r="81" customFormat="false" ht="15" hidden="false" customHeight="true" outlineLevel="0" collapsed="false">
      <c r="A81" s="1"/>
      <c r="B81" s="48" t="s">
        <v>238</v>
      </c>
      <c r="C81" s="48"/>
      <c r="D81" s="48"/>
      <c r="E81" s="48"/>
      <c r="F81" s="48"/>
      <c r="G81" s="48"/>
      <c r="H81" s="48"/>
      <c r="I81" s="48"/>
    </row>
    <row r="82" customFormat="false" ht="15" hidden="false" customHeight="true" outlineLevel="0" collapsed="false">
      <c r="A82" s="1"/>
      <c r="B82" s="49" t="s">
        <v>239</v>
      </c>
      <c r="C82" s="30" t="s">
        <v>240</v>
      </c>
      <c r="D82" s="32" t="n">
        <v>18.62</v>
      </c>
      <c r="E82" s="43" t="n">
        <v>71</v>
      </c>
      <c r="F82" s="43" t="n">
        <v>61</v>
      </c>
      <c r="G82" s="43" t="n">
        <v>56</v>
      </c>
      <c r="H82" s="43" t="n">
        <v>53</v>
      </c>
      <c r="I82" s="43" t="n">
        <v>71</v>
      </c>
    </row>
    <row r="83" customFormat="false" ht="15" hidden="false" customHeight="true" outlineLevel="0" collapsed="false">
      <c r="A83" s="1"/>
      <c r="B83" s="49" t="s">
        <v>241</v>
      </c>
      <c r="C83" s="30" t="s">
        <v>242</v>
      </c>
      <c r="D83" s="32" t="n">
        <v>19.65</v>
      </c>
      <c r="E83" s="43" t="n">
        <v>75</v>
      </c>
      <c r="F83" s="43" t="n">
        <v>64</v>
      </c>
      <c r="G83" s="43" t="n">
        <v>59</v>
      </c>
      <c r="H83" s="43" t="n">
        <v>56</v>
      </c>
      <c r="I83" s="43" t="n">
        <v>75</v>
      </c>
    </row>
    <row r="84" customFormat="false" ht="15" hidden="false" customHeight="true" outlineLevel="0" collapsed="false">
      <c r="A84" s="1"/>
      <c r="B84" s="49" t="s">
        <v>243</v>
      </c>
      <c r="C84" s="30" t="s">
        <v>244</v>
      </c>
      <c r="D84" s="32" t="n">
        <v>20.69</v>
      </c>
      <c r="E84" s="43" t="n">
        <v>78</v>
      </c>
      <c r="F84" s="43" t="n">
        <v>67</v>
      </c>
      <c r="G84" s="43" t="n">
        <v>62</v>
      </c>
      <c r="H84" s="43" t="n">
        <v>58</v>
      </c>
      <c r="I84" s="43" t="n">
        <v>78</v>
      </c>
    </row>
    <row r="85" customFormat="false" ht="15" hidden="false" customHeight="true" outlineLevel="0" collapsed="false">
      <c r="A85" s="1"/>
      <c r="B85" s="49" t="s">
        <v>245</v>
      </c>
      <c r="C85" s="30" t="s">
        <v>246</v>
      </c>
      <c r="D85" s="32" t="n">
        <v>16.03</v>
      </c>
      <c r="E85" s="43" t="n">
        <v>63</v>
      </c>
      <c r="F85" s="43" t="n">
        <v>53</v>
      </c>
      <c r="G85" s="43" t="n">
        <v>49</v>
      </c>
      <c r="H85" s="43" t="n">
        <v>47</v>
      </c>
      <c r="I85" s="43" t="n">
        <v>63</v>
      </c>
    </row>
    <row r="86" customFormat="false" ht="15" hidden="false" customHeight="true" outlineLevel="0" collapsed="false">
      <c r="A86" s="1"/>
      <c r="B86" s="49" t="s">
        <v>247</v>
      </c>
      <c r="C86" s="30" t="s">
        <v>248</v>
      </c>
      <c r="D86" s="32" t="n">
        <v>14.48</v>
      </c>
      <c r="E86" s="43" t="n">
        <v>57</v>
      </c>
      <c r="F86" s="43" t="n">
        <v>49</v>
      </c>
      <c r="G86" s="43" t="n">
        <v>45</v>
      </c>
      <c r="H86" s="43" t="n">
        <v>43</v>
      </c>
      <c r="I86" s="43" t="n">
        <v>57</v>
      </c>
    </row>
    <row r="87" customFormat="false" ht="15" hidden="false" customHeight="true" outlineLevel="0" collapsed="false">
      <c r="A87" s="1"/>
      <c r="B87" s="49" t="s">
        <v>249</v>
      </c>
      <c r="C87" s="30" t="s">
        <v>250</v>
      </c>
      <c r="D87" s="32" t="n">
        <v>13.44</v>
      </c>
      <c r="E87" s="43" t="n">
        <v>54</v>
      </c>
      <c r="F87" s="43" t="n">
        <v>46</v>
      </c>
      <c r="G87" s="43" t="n">
        <v>42</v>
      </c>
      <c r="H87" s="43" t="n">
        <v>40</v>
      </c>
      <c r="I87" s="43" t="n">
        <v>54</v>
      </c>
    </row>
    <row r="88" customFormat="false" ht="15" hidden="false" customHeight="true" outlineLevel="0" collapsed="false">
      <c r="A88" s="1"/>
      <c r="B88" s="49" t="s">
        <v>152</v>
      </c>
      <c r="C88" s="30" t="s">
        <v>251</v>
      </c>
      <c r="D88" s="32" t="n">
        <v>10.63</v>
      </c>
      <c r="E88" s="43" t="n">
        <v>45</v>
      </c>
      <c r="F88" s="43" t="n">
        <v>38</v>
      </c>
      <c r="G88" s="43" t="n">
        <v>35</v>
      </c>
      <c r="H88" s="43" t="n">
        <v>33</v>
      </c>
      <c r="I88" s="43" t="n">
        <v>45</v>
      </c>
    </row>
    <row r="89" customFormat="false" ht="15" hidden="false" customHeight="true" outlineLevel="0" collapsed="false">
      <c r="A89" s="1"/>
      <c r="B89" s="49" t="s">
        <v>154</v>
      </c>
      <c r="C89" s="30" t="s">
        <v>252</v>
      </c>
      <c r="D89" s="32" t="n">
        <v>7.89</v>
      </c>
      <c r="E89" s="43" t="n">
        <v>35</v>
      </c>
      <c r="F89" s="43" t="n">
        <v>30</v>
      </c>
      <c r="G89" s="43" t="n">
        <v>27</v>
      </c>
      <c r="H89" s="43" t="n">
        <v>26</v>
      </c>
      <c r="I89" s="43" t="n">
        <v>35</v>
      </c>
    </row>
    <row r="90" customFormat="false" ht="15" hidden="false" customHeight="true" outlineLevel="0" collapsed="false">
      <c r="A90" s="1"/>
      <c r="B90" s="49" t="s">
        <v>156</v>
      </c>
      <c r="C90" s="30" t="s">
        <v>253</v>
      </c>
      <c r="D90" s="32" t="n">
        <v>15.59</v>
      </c>
      <c r="E90" s="43" t="n">
        <v>61</v>
      </c>
      <c r="F90" s="43" t="n">
        <v>52</v>
      </c>
      <c r="G90" s="43" t="n">
        <v>48</v>
      </c>
      <c r="H90" s="43" t="n">
        <v>46</v>
      </c>
      <c r="I90" s="43" t="n">
        <v>61</v>
      </c>
    </row>
    <row r="91" customFormat="false" ht="15" hidden="false" customHeight="true" outlineLevel="0" collapsed="false">
      <c r="A91" s="1"/>
      <c r="B91" s="49" t="s">
        <v>158</v>
      </c>
      <c r="C91" s="30" t="s">
        <v>254</v>
      </c>
      <c r="D91" s="32" t="n">
        <v>12.65</v>
      </c>
      <c r="E91" s="43" t="n">
        <v>51</v>
      </c>
      <c r="F91" s="43" t="n">
        <v>44</v>
      </c>
      <c r="G91" s="43" t="n">
        <v>40</v>
      </c>
      <c r="H91" s="43" t="n">
        <v>38</v>
      </c>
      <c r="I91" s="43" t="n">
        <v>51</v>
      </c>
    </row>
    <row r="92" customFormat="false" ht="15" hidden="false" customHeight="true" outlineLevel="0" collapsed="false">
      <c r="A92" s="1"/>
      <c r="B92" s="49" t="s">
        <v>160</v>
      </c>
      <c r="C92" s="30" t="s">
        <v>255</v>
      </c>
      <c r="D92" s="32" t="n">
        <v>11.1</v>
      </c>
      <c r="E92" s="43" t="n">
        <v>46</v>
      </c>
      <c r="F92" s="43" t="n">
        <v>39</v>
      </c>
      <c r="G92" s="43" t="n">
        <v>36</v>
      </c>
      <c r="H92" s="43" t="n">
        <v>34</v>
      </c>
      <c r="I92" s="43" t="n">
        <v>46</v>
      </c>
    </row>
    <row r="93" customFormat="false" ht="15" hidden="false" customHeight="true" outlineLevel="0" collapsed="false">
      <c r="A93" s="1"/>
      <c r="B93" s="49" t="s">
        <v>162</v>
      </c>
      <c r="C93" s="30" t="s">
        <v>256</v>
      </c>
      <c r="D93" s="32" t="n">
        <v>10.34</v>
      </c>
      <c r="E93" s="43" t="n">
        <v>44</v>
      </c>
      <c r="F93" s="43" t="n">
        <v>37</v>
      </c>
      <c r="G93" s="43" t="n">
        <v>34</v>
      </c>
      <c r="H93" s="43" t="n">
        <v>32</v>
      </c>
      <c r="I93" s="43" t="n">
        <v>44</v>
      </c>
    </row>
    <row r="94" customFormat="false" ht="15" hidden="false" customHeight="true" outlineLevel="0" collapsed="false">
      <c r="A94" s="1"/>
      <c r="B94" s="49" t="s">
        <v>164</v>
      </c>
      <c r="C94" s="30" t="s">
        <v>257</v>
      </c>
      <c r="D94" s="32" t="n">
        <v>6.15</v>
      </c>
      <c r="E94" s="43" t="n">
        <v>30</v>
      </c>
      <c r="F94" s="43" t="n">
        <v>25</v>
      </c>
      <c r="G94" s="43" t="n">
        <v>23</v>
      </c>
      <c r="H94" s="43" t="n">
        <v>22</v>
      </c>
      <c r="I94" s="43" t="n">
        <v>30</v>
      </c>
    </row>
    <row r="95" customFormat="false" ht="15" hidden="false" customHeight="true" outlineLevel="0" collapsed="false">
      <c r="A95" s="1"/>
      <c r="B95" s="48" t="s">
        <v>258</v>
      </c>
      <c r="C95" s="48"/>
      <c r="D95" s="48"/>
      <c r="E95" s="48"/>
      <c r="F95" s="48"/>
      <c r="G95" s="48"/>
      <c r="H95" s="48"/>
      <c r="I95" s="48"/>
    </row>
    <row r="96" customFormat="false" ht="15" hidden="false" customHeight="true" outlineLevel="0" collapsed="false">
      <c r="A96" s="1"/>
      <c r="B96" s="49" t="s">
        <v>259</v>
      </c>
      <c r="C96" s="30" t="s">
        <v>260</v>
      </c>
      <c r="D96" s="32" t="n">
        <v>8.27</v>
      </c>
      <c r="E96" s="43" t="n">
        <v>37</v>
      </c>
      <c r="F96" s="43" t="n">
        <v>31</v>
      </c>
      <c r="G96" s="43" t="n">
        <v>28</v>
      </c>
      <c r="H96" s="43" t="n">
        <v>27</v>
      </c>
      <c r="I96" s="43" t="n">
        <v>37</v>
      </c>
    </row>
    <row r="97" customFormat="false" ht="15" hidden="false" customHeight="true" outlineLevel="0" collapsed="false">
      <c r="A97" s="1"/>
      <c r="B97" s="49" t="s">
        <v>261</v>
      </c>
      <c r="C97" s="30" t="s">
        <v>262</v>
      </c>
      <c r="D97" s="32" t="n">
        <v>11.37</v>
      </c>
      <c r="E97" s="43" t="n">
        <v>47</v>
      </c>
      <c r="F97" s="43" t="n">
        <v>40</v>
      </c>
      <c r="G97" s="43" t="n">
        <v>37</v>
      </c>
      <c r="H97" s="43" t="n">
        <v>35</v>
      </c>
      <c r="I97" s="43" t="n">
        <v>47</v>
      </c>
    </row>
    <row r="98" customFormat="false" ht="15" hidden="false" customHeight="true" outlineLevel="0" collapsed="false">
      <c r="A98" s="1"/>
      <c r="B98" s="49" t="s">
        <v>263</v>
      </c>
      <c r="C98" s="30" t="s">
        <v>264</v>
      </c>
      <c r="D98" s="32" t="n">
        <v>19.75</v>
      </c>
      <c r="E98" s="43" t="n">
        <v>75</v>
      </c>
      <c r="F98" s="43" t="n">
        <v>64</v>
      </c>
      <c r="G98" s="43" t="n">
        <v>59</v>
      </c>
      <c r="H98" s="43" t="n">
        <v>56</v>
      </c>
      <c r="I98" s="43" t="n">
        <v>75</v>
      </c>
    </row>
    <row r="99" customFormat="false" ht="15" hidden="false" customHeight="true" outlineLevel="0" collapsed="false">
      <c r="A99" s="1"/>
      <c r="B99" s="48" t="s">
        <v>265</v>
      </c>
      <c r="C99" s="48"/>
      <c r="D99" s="48"/>
      <c r="E99" s="48"/>
      <c r="F99" s="48"/>
      <c r="G99" s="48"/>
      <c r="H99" s="48"/>
      <c r="I99" s="48"/>
    </row>
    <row r="100" customFormat="false" ht="15" hidden="false" customHeight="true" outlineLevel="0" collapsed="false">
      <c r="A100" s="1"/>
      <c r="B100" s="49" t="s">
        <v>266</v>
      </c>
      <c r="C100" s="30" t="s">
        <v>267</v>
      </c>
      <c r="D100" s="32" t="n">
        <v>5.99</v>
      </c>
      <c r="E100" s="43" t="n">
        <v>23</v>
      </c>
      <c r="F100" s="43" t="n">
        <v>19</v>
      </c>
      <c r="G100" s="43" t="n">
        <v>18</v>
      </c>
      <c r="H100" s="43" t="n">
        <v>17</v>
      </c>
      <c r="I100" s="43" t="n">
        <v>23</v>
      </c>
    </row>
    <row r="101" customFormat="false" ht="15" hidden="false" customHeight="true" outlineLevel="0" collapsed="false">
      <c r="A101" s="1"/>
      <c r="B101" s="49" t="s">
        <v>268</v>
      </c>
      <c r="C101" s="30" t="s">
        <v>269</v>
      </c>
      <c r="D101" s="32" t="n">
        <v>5.68</v>
      </c>
      <c r="E101" s="43" t="n">
        <v>21</v>
      </c>
      <c r="F101" s="43" t="n">
        <v>18</v>
      </c>
      <c r="G101" s="43" t="n">
        <v>17</v>
      </c>
      <c r="H101" s="43" t="n">
        <v>16</v>
      </c>
      <c r="I101" s="43" t="n">
        <v>21</v>
      </c>
    </row>
    <row r="102" customFormat="false" ht="15" hidden="false" customHeight="true" outlineLevel="0" collapsed="false">
      <c r="A102" s="1"/>
      <c r="B102" s="49" t="s">
        <v>270</v>
      </c>
      <c r="C102" s="30" t="s">
        <v>271</v>
      </c>
      <c r="D102" s="32" t="n">
        <v>8.79</v>
      </c>
      <c r="E102" s="43" t="n">
        <v>32</v>
      </c>
      <c r="F102" s="43" t="n">
        <v>27</v>
      </c>
      <c r="G102" s="43" t="n">
        <v>25</v>
      </c>
      <c r="H102" s="43" t="n">
        <v>24</v>
      </c>
      <c r="I102" s="43" t="n">
        <v>32</v>
      </c>
    </row>
    <row r="103" customFormat="false" ht="15" hidden="false" customHeight="true" outlineLevel="0" collapsed="false">
      <c r="A103" s="1"/>
      <c r="B103" s="49" t="s">
        <v>272</v>
      </c>
      <c r="C103" s="30" t="s">
        <v>273</v>
      </c>
      <c r="D103" s="32" t="n">
        <v>9.3</v>
      </c>
      <c r="E103" s="43" t="n">
        <v>34</v>
      </c>
      <c r="F103" s="43" t="n">
        <v>29</v>
      </c>
      <c r="G103" s="43" t="n">
        <v>27</v>
      </c>
      <c r="H103" s="43" t="n">
        <v>25</v>
      </c>
      <c r="I103" s="43" t="n">
        <v>34</v>
      </c>
    </row>
    <row r="104" customFormat="false" ht="15" hidden="false" customHeight="true" outlineLevel="0" collapsed="false">
      <c r="A104" s="1"/>
      <c r="B104" s="49" t="s">
        <v>274</v>
      </c>
      <c r="C104" s="30" t="s">
        <v>275</v>
      </c>
      <c r="D104" s="32" t="n">
        <v>7.75</v>
      </c>
      <c r="E104" s="43" t="n">
        <v>35</v>
      </c>
      <c r="F104" s="43" t="n">
        <v>30</v>
      </c>
      <c r="G104" s="43" t="n">
        <v>27</v>
      </c>
      <c r="H104" s="43" t="n">
        <v>26</v>
      </c>
      <c r="I104" s="43" t="n">
        <v>35</v>
      </c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</row>
    <row r="106" customFormat="false" ht="15" hidden="false" customHeight="true" outlineLevel="0" collapsed="false">
      <c r="A106" s="1"/>
      <c r="B106" s="50" t="s">
        <v>276</v>
      </c>
      <c r="C106" s="50"/>
      <c r="D106" s="50"/>
      <c r="E106" s="50"/>
      <c r="F106" s="50"/>
      <c r="G106" s="50"/>
      <c r="H106" s="50"/>
      <c r="I106" s="50"/>
    </row>
    <row r="107" customFormat="false" ht="15" hidden="false" customHeight="true" outlineLevel="0" collapsed="false">
      <c r="A107" s="1"/>
      <c r="B107" s="50" t="s">
        <v>277</v>
      </c>
      <c r="C107" s="50"/>
      <c r="D107" s="50"/>
      <c r="E107" s="50"/>
      <c r="F107" s="50"/>
      <c r="G107" s="50"/>
      <c r="H107" s="50"/>
      <c r="I107" s="50"/>
    </row>
    <row r="108" customFormat="false" ht="15" hidden="false" customHeight="true" outlineLevel="0" collapsed="false">
      <c r="A108" s="1"/>
      <c r="B108" s="50" t="s">
        <v>278</v>
      </c>
      <c r="C108" s="50"/>
      <c r="D108" s="50"/>
      <c r="E108" s="50"/>
      <c r="F108" s="50"/>
      <c r="G108" s="50"/>
      <c r="H108" s="50"/>
      <c r="I108" s="50"/>
    </row>
    <row r="109" customFormat="false" ht="15" hidden="false" customHeight="true" outlineLevel="0" collapsed="false">
      <c r="A109" s="1"/>
      <c r="B109" s="50" t="s">
        <v>279</v>
      </c>
      <c r="C109" s="50"/>
      <c r="D109" s="50"/>
      <c r="E109" s="50"/>
      <c r="F109" s="50"/>
      <c r="G109" s="50"/>
      <c r="H109" s="50"/>
      <c r="I109" s="50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22">
    <mergeCell ref="B2:I2"/>
    <mergeCell ref="B3:I3"/>
    <mergeCell ref="B5:I5"/>
    <mergeCell ref="B7:I7"/>
    <mergeCell ref="B14:I14"/>
    <mergeCell ref="B20:I20"/>
    <mergeCell ref="B37:I37"/>
    <mergeCell ref="B38:I38"/>
    <mergeCell ref="B39:I39"/>
    <mergeCell ref="B40:I40"/>
    <mergeCell ref="B41:I41"/>
    <mergeCell ref="B44:I44"/>
    <mergeCell ref="B46:I46"/>
    <mergeCell ref="B62:I62"/>
    <mergeCell ref="B70:I70"/>
    <mergeCell ref="B81:I81"/>
    <mergeCell ref="B95:I95"/>
    <mergeCell ref="B99:I99"/>
    <mergeCell ref="B106:I106"/>
    <mergeCell ref="B107:I107"/>
    <mergeCell ref="B108:I108"/>
    <mergeCell ref="B109:I10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38"/>
    <col collapsed="false" customWidth="true" hidden="false" outlineLevel="0" max="5" min="4" style="0" width="12"/>
    <col collapsed="false" customWidth="true" hidden="false" outlineLevel="0" max="8" min="6" style="0" width="11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5" min="11" style="0" width="11"/>
    <col collapsed="false" customWidth="true" hidden="false" outlineLevel="0" max="26" min="16" style="0" width="8.7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7.25" hidden="false" customHeight="true" outlineLevel="0" collapsed="false">
      <c r="A2" s="1"/>
      <c r="B2" s="45" t="s">
        <v>280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</row>
    <row r="3" customFormat="false" ht="15" hidden="false" customHeight="true" outlineLevel="0" collapsed="false">
      <c r="A3" s="1"/>
      <c r="B3" s="26" t="s">
        <v>281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31.5" hidden="false" customHeight="true" outlineLevel="0" collapsed="false">
      <c r="A5" s="1"/>
      <c r="B5" s="47" t="s">
        <v>109</v>
      </c>
      <c r="C5" s="47" t="s">
        <v>110</v>
      </c>
      <c r="D5" s="47" t="s">
        <v>59</v>
      </c>
      <c r="E5" s="47" t="s">
        <v>282</v>
      </c>
      <c r="F5" s="47" t="s">
        <v>283</v>
      </c>
      <c r="G5" s="47" t="s">
        <v>284</v>
      </c>
      <c r="H5" s="47" t="s">
        <v>285</v>
      </c>
      <c r="I5" s="47" t="s">
        <v>63</v>
      </c>
      <c r="J5" s="47" t="s">
        <v>286</v>
      </c>
      <c r="K5" s="47" t="s">
        <v>287</v>
      </c>
      <c r="L5" s="47" t="s">
        <v>288</v>
      </c>
      <c r="M5" s="47" t="s">
        <v>289</v>
      </c>
      <c r="N5" s="47" t="s">
        <v>290</v>
      </c>
      <c r="O5" s="47" t="s">
        <v>291</v>
      </c>
    </row>
    <row r="6" customFormat="false" ht="15" hidden="false" customHeight="true" outlineLevel="0" collapsed="false">
      <c r="A6" s="1"/>
      <c r="B6" s="48" t="s">
        <v>117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customFormat="false" ht="15" hidden="false" customHeight="true" outlineLevel="0" collapsed="false">
      <c r="A7" s="1"/>
      <c r="B7" s="49" t="s">
        <v>118</v>
      </c>
      <c r="C7" s="30" t="s">
        <v>119</v>
      </c>
      <c r="D7" s="32" t="n">
        <v>5.39</v>
      </c>
      <c r="E7" s="51" t="n">
        <f aca="false">D7*2</f>
        <v>10.78</v>
      </c>
      <c r="F7" s="52" t="n">
        <v>78.57</v>
      </c>
      <c r="G7" s="53" t="n">
        <v>0.055</v>
      </c>
      <c r="H7" s="51" t="n">
        <f aca="false">F7*G7</f>
        <v>4.32135</v>
      </c>
      <c r="I7" s="32" t="n">
        <v>0.5</v>
      </c>
      <c r="J7" s="54" t="n">
        <f aca="false">E7+H7+I7</f>
        <v>15.60135</v>
      </c>
      <c r="K7" s="55" t="n">
        <f aca="false">CEILING(J7/(1-0.1),1)</f>
        <v>18</v>
      </c>
      <c r="L7" s="55" t="n">
        <f aca="false">CEILING(J7/(1-0.2),1)</f>
        <v>20</v>
      </c>
      <c r="M7" s="55" t="n">
        <f aca="false">CEILING(J7/(1-0.25),1)</f>
        <v>21</v>
      </c>
      <c r="N7" s="55" t="n">
        <f aca="false">CEILING(J7/(1-0.3),1)</f>
        <v>23</v>
      </c>
      <c r="O7" s="55" t="n">
        <f aca="false">CEILING(J7/(1-0.4),1)</f>
        <v>27</v>
      </c>
    </row>
    <row r="8" customFormat="false" ht="15" hidden="false" customHeight="true" outlineLevel="0" collapsed="false">
      <c r="A8" s="1"/>
      <c r="B8" s="49" t="s">
        <v>120</v>
      </c>
      <c r="C8" s="30" t="s">
        <v>121</v>
      </c>
      <c r="D8" s="32" t="n">
        <v>4.89</v>
      </c>
      <c r="E8" s="51" t="n">
        <f aca="false">D8*2</f>
        <v>9.78</v>
      </c>
      <c r="F8" s="52" t="n">
        <v>78.57</v>
      </c>
      <c r="G8" s="53" t="n">
        <v>0.055</v>
      </c>
      <c r="H8" s="51" t="n">
        <f aca="false">F8*G8</f>
        <v>4.32135</v>
      </c>
      <c r="I8" s="32" t="n">
        <v>0.5</v>
      </c>
      <c r="J8" s="54" t="n">
        <f aca="false">E8+H8+I8</f>
        <v>14.60135</v>
      </c>
      <c r="K8" s="55" t="n">
        <f aca="false">CEILING(J8/(1-0.1),1)</f>
        <v>17</v>
      </c>
      <c r="L8" s="55" t="n">
        <f aca="false">CEILING(J8/(1-0.2),1)</f>
        <v>19</v>
      </c>
      <c r="M8" s="55" t="n">
        <f aca="false">CEILING(J8/(1-0.25),1)</f>
        <v>20</v>
      </c>
      <c r="N8" s="55" t="n">
        <f aca="false">CEILING(J8/(1-0.3),1)</f>
        <v>21</v>
      </c>
      <c r="O8" s="55" t="n">
        <f aca="false">CEILING(J8/(1-0.4),1)</f>
        <v>25</v>
      </c>
    </row>
    <row r="9" customFormat="false" ht="15" hidden="false" customHeight="true" outlineLevel="0" collapsed="false">
      <c r="A9" s="1"/>
      <c r="B9" s="49" t="s">
        <v>122</v>
      </c>
      <c r="C9" s="30" t="s">
        <v>123</v>
      </c>
      <c r="D9" s="32" t="n">
        <v>5.89</v>
      </c>
      <c r="E9" s="51" t="n">
        <f aca="false">D9*2</f>
        <v>11.78</v>
      </c>
      <c r="F9" s="52" t="n">
        <v>12.25</v>
      </c>
      <c r="G9" s="53" t="n">
        <v>0.055</v>
      </c>
      <c r="H9" s="51" t="n">
        <f aca="false">F9*G9</f>
        <v>0.67375</v>
      </c>
      <c r="I9" s="32" t="n">
        <v>0.5</v>
      </c>
      <c r="J9" s="54" t="n">
        <f aca="false">E9+H9+I9</f>
        <v>12.95375</v>
      </c>
      <c r="K9" s="55" t="n">
        <f aca="false">CEILING(J9/(1-0.1),1)</f>
        <v>15</v>
      </c>
      <c r="L9" s="55" t="n">
        <f aca="false">CEILING(J9/(1-0.2),1)</f>
        <v>17</v>
      </c>
      <c r="M9" s="55" t="n">
        <f aca="false">CEILING(J9/(1-0.25),1)</f>
        <v>18</v>
      </c>
      <c r="N9" s="55" t="n">
        <f aca="false">CEILING(J9/(1-0.3),1)</f>
        <v>19</v>
      </c>
      <c r="O9" s="55" t="n">
        <f aca="false">CEILING(J9/(1-0.4),1)</f>
        <v>22</v>
      </c>
    </row>
    <row r="10" customFormat="false" ht="15" hidden="false" customHeight="true" outlineLevel="0" collapsed="false">
      <c r="A10" s="1"/>
      <c r="B10" s="49" t="s">
        <v>124</v>
      </c>
      <c r="C10" s="30" t="s">
        <v>125</v>
      </c>
      <c r="D10" s="32" t="n">
        <v>4.13</v>
      </c>
      <c r="E10" s="51" t="n">
        <f aca="false">D10*2</f>
        <v>8.26</v>
      </c>
      <c r="F10" s="52" t="n">
        <v>78.57</v>
      </c>
      <c r="G10" s="53" t="n">
        <v>0.055</v>
      </c>
      <c r="H10" s="51" t="n">
        <f aca="false">F10*G10</f>
        <v>4.32135</v>
      </c>
      <c r="I10" s="32" t="n">
        <v>0.5</v>
      </c>
      <c r="J10" s="54" t="n">
        <f aca="false">E10+H10+I10</f>
        <v>13.08135</v>
      </c>
      <c r="K10" s="55" t="n">
        <f aca="false">CEILING(J10/(1-0.1),1)</f>
        <v>15</v>
      </c>
      <c r="L10" s="55" t="n">
        <f aca="false">CEILING(J10/(1-0.2),1)</f>
        <v>17</v>
      </c>
      <c r="M10" s="55" t="n">
        <f aca="false">CEILING(J10/(1-0.25),1)</f>
        <v>18</v>
      </c>
      <c r="N10" s="55" t="n">
        <f aca="false">CEILING(J10/(1-0.3),1)</f>
        <v>19</v>
      </c>
      <c r="O10" s="55" t="n">
        <f aca="false">CEILING(J10/(1-0.4),1)</f>
        <v>22</v>
      </c>
    </row>
    <row r="11" customFormat="false" ht="15" hidden="false" customHeight="true" outlineLevel="0" collapsed="false">
      <c r="A11" s="1"/>
      <c r="B11" s="49" t="s">
        <v>126</v>
      </c>
      <c r="C11" s="30" t="s">
        <v>127</v>
      </c>
      <c r="D11" s="32" t="n">
        <v>6.2</v>
      </c>
      <c r="E11" s="51" t="n">
        <f aca="false">D11*2</f>
        <v>12.4</v>
      </c>
      <c r="F11" s="52" t="n">
        <v>78.57</v>
      </c>
      <c r="G11" s="53" t="n">
        <v>0.055</v>
      </c>
      <c r="H11" s="51" t="n">
        <f aca="false">F11*G11</f>
        <v>4.32135</v>
      </c>
      <c r="I11" s="32" t="n">
        <v>0.5</v>
      </c>
      <c r="J11" s="54" t="n">
        <f aca="false">E11+H11+I11</f>
        <v>17.22135</v>
      </c>
      <c r="K11" s="55" t="n">
        <f aca="false">CEILING(J11/(1-0.1),1)</f>
        <v>20</v>
      </c>
      <c r="L11" s="55" t="n">
        <f aca="false">CEILING(J11/(1-0.2),1)</f>
        <v>22</v>
      </c>
      <c r="M11" s="55" t="n">
        <f aca="false">CEILING(J11/(1-0.25),1)</f>
        <v>23</v>
      </c>
      <c r="N11" s="55" t="n">
        <f aca="false">CEILING(J11/(1-0.3),1)</f>
        <v>25</v>
      </c>
      <c r="O11" s="55" t="n">
        <f aca="false">CEILING(J11/(1-0.4),1)</f>
        <v>29</v>
      </c>
    </row>
    <row r="12" customFormat="false" ht="15" hidden="false" customHeight="true" outlineLevel="0" collapsed="false">
      <c r="A12" s="1"/>
      <c r="B12" s="49" t="s">
        <v>128</v>
      </c>
      <c r="C12" s="30" t="s">
        <v>129</v>
      </c>
      <c r="D12" s="32" t="n">
        <v>5.68</v>
      </c>
      <c r="E12" s="51" t="n">
        <f aca="false">D12*2</f>
        <v>11.36</v>
      </c>
      <c r="F12" s="52" t="n">
        <v>78.57</v>
      </c>
      <c r="G12" s="53" t="n">
        <v>0.055</v>
      </c>
      <c r="H12" s="51" t="n">
        <f aca="false">F12*G12</f>
        <v>4.32135</v>
      </c>
      <c r="I12" s="32" t="n">
        <v>0.5</v>
      </c>
      <c r="J12" s="54" t="n">
        <f aca="false">E12+H12+I12</f>
        <v>16.18135</v>
      </c>
      <c r="K12" s="55" t="n">
        <f aca="false">CEILING(J12/(1-0.1),1)</f>
        <v>18</v>
      </c>
      <c r="L12" s="55" t="n">
        <f aca="false">CEILING(J12/(1-0.2),1)</f>
        <v>21</v>
      </c>
      <c r="M12" s="55" t="n">
        <f aca="false">CEILING(J12/(1-0.25),1)</f>
        <v>22</v>
      </c>
      <c r="N12" s="55" t="n">
        <f aca="false">CEILING(J12/(1-0.3),1)</f>
        <v>24</v>
      </c>
      <c r="O12" s="55" t="n">
        <f aca="false">CEILING(J12/(1-0.4),1)</f>
        <v>27</v>
      </c>
    </row>
    <row r="13" customFormat="false" ht="15" hidden="false" customHeight="true" outlineLevel="0" collapsed="false">
      <c r="A13" s="1"/>
      <c r="B13" s="48" t="s">
        <v>130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</row>
    <row r="14" customFormat="false" ht="15" hidden="false" customHeight="true" outlineLevel="0" collapsed="false">
      <c r="A14" s="1"/>
      <c r="B14" s="49" t="s">
        <v>131</v>
      </c>
      <c r="C14" s="30" t="s">
        <v>132</v>
      </c>
      <c r="D14" s="32" t="n">
        <v>9.45</v>
      </c>
      <c r="E14" s="51" t="n">
        <f aca="false">D14*2</f>
        <v>18.9</v>
      </c>
      <c r="F14" s="52" t="n">
        <v>78.57</v>
      </c>
      <c r="G14" s="53" t="n">
        <v>0.055</v>
      </c>
      <c r="H14" s="51" t="n">
        <f aca="false">F14*G14</f>
        <v>4.32135</v>
      </c>
      <c r="I14" s="32" t="n">
        <v>0.5</v>
      </c>
      <c r="J14" s="54" t="n">
        <f aca="false">E14+H14+I14</f>
        <v>23.72135</v>
      </c>
      <c r="K14" s="55" t="n">
        <f aca="false">CEILING(J14/(1-0.1),1)</f>
        <v>27</v>
      </c>
      <c r="L14" s="55" t="n">
        <f aca="false">CEILING(J14/(1-0.2),1)</f>
        <v>30</v>
      </c>
      <c r="M14" s="55" t="n">
        <f aca="false">CEILING(J14/(1-0.25),1)</f>
        <v>32</v>
      </c>
      <c r="N14" s="55" t="n">
        <f aca="false">CEILING(J14/(1-0.3),1)</f>
        <v>34</v>
      </c>
      <c r="O14" s="55" t="n">
        <f aca="false">CEILING(J14/(1-0.4),1)</f>
        <v>40</v>
      </c>
    </row>
    <row r="15" customFormat="false" ht="15" hidden="false" customHeight="true" outlineLevel="0" collapsed="false">
      <c r="A15" s="1"/>
      <c r="B15" s="49" t="s">
        <v>133</v>
      </c>
      <c r="C15" s="30" t="s">
        <v>134</v>
      </c>
      <c r="D15" s="32" t="n">
        <v>9.01</v>
      </c>
      <c r="E15" s="51" t="n">
        <f aca="false">D15*2</f>
        <v>18.02</v>
      </c>
      <c r="F15" s="52" t="n">
        <v>78.57</v>
      </c>
      <c r="G15" s="53" t="n">
        <v>0.055</v>
      </c>
      <c r="H15" s="51" t="n">
        <f aca="false">F15*G15</f>
        <v>4.32135</v>
      </c>
      <c r="I15" s="32" t="n">
        <v>0.5</v>
      </c>
      <c r="J15" s="54" t="n">
        <f aca="false">E15+H15+I15</f>
        <v>22.84135</v>
      </c>
      <c r="K15" s="55" t="n">
        <f aca="false">CEILING(J15/(1-0.1),1)</f>
        <v>26</v>
      </c>
      <c r="L15" s="55" t="n">
        <f aca="false">CEILING(J15/(1-0.2),1)</f>
        <v>29</v>
      </c>
      <c r="M15" s="55" t="n">
        <f aca="false">CEILING(J15/(1-0.25),1)</f>
        <v>31</v>
      </c>
      <c r="N15" s="55" t="n">
        <f aca="false">CEILING(J15/(1-0.3),1)</f>
        <v>33</v>
      </c>
      <c r="O15" s="55" t="n">
        <f aca="false">CEILING(J15/(1-0.4),1)</f>
        <v>39</v>
      </c>
    </row>
    <row r="16" customFormat="false" ht="15" hidden="false" customHeight="true" outlineLevel="0" collapsed="false">
      <c r="A16" s="1"/>
      <c r="B16" s="49" t="s">
        <v>135</v>
      </c>
      <c r="C16" s="30" t="s">
        <v>136</v>
      </c>
      <c r="D16" s="32" t="n">
        <v>6.61</v>
      </c>
      <c r="E16" s="51" t="n">
        <f aca="false">D16*2</f>
        <v>13.22</v>
      </c>
      <c r="F16" s="52" t="n">
        <v>78.57</v>
      </c>
      <c r="G16" s="53" t="n">
        <v>0.055</v>
      </c>
      <c r="H16" s="51" t="n">
        <f aca="false">F16*G16</f>
        <v>4.32135</v>
      </c>
      <c r="I16" s="32" t="n">
        <v>0.5</v>
      </c>
      <c r="J16" s="54" t="n">
        <f aca="false">E16+H16+I16</f>
        <v>18.04135</v>
      </c>
      <c r="K16" s="55" t="n">
        <f aca="false">CEILING(J16/(1-0.1),1)</f>
        <v>21</v>
      </c>
      <c r="L16" s="55" t="n">
        <f aca="false">CEILING(J16/(1-0.2),1)</f>
        <v>23</v>
      </c>
      <c r="M16" s="55" t="n">
        <f aca="false">CEILING(J16/(1-0.25),1)</f>
        <v>25</v>
      </c>
      <c r="N16" s="55" t="n">
        <f aca="false">CEILING(J16/(1-0.3),1)</f>
        <v>26</v>
      </c>
      <c r="O16" s="55" t="n">
        <f aca="false">CEILING(J16/(1-0.4),1)</f>
        <v>31</v>
      </c>
    </row>
    <row r="17" customFormat="false" ht="15" hidden="false" customHeight="true" outlineLevel="0" collapsed="false">
      <c r="A17" s="1"/>
      <c r="B17" s="49" t="s">
        <v>137</v>
      </c>
      <c r="C17" s="30" t="s">
        <v>138</v>
      </c>
      <c r="D17" s="32" t="n">
        <v>5.84</v>
      </c>
      <c r="E17" s="51" t="n">
        <f aca="false">D17*2</f>
        <v>11.68</v>
      </c>
      <c r="F17" s="52" t="n">
        <v>12.25</v>
      </c>
      <c r="G17" s="53" t="n">
        <v>0.055</v>
      </c>
      <c r="H17" s="51" t="n">
        <f aca="false">F17*G17</f>
        <v>0.67375</v>
      </c>
      <c r="I17" s="32" t="n">
        <v>0.5</v>
      </c>
      <c r="J17" s="54" t="n">
        <f aca="false">E17+H17+I17</f>
        <v>12.85375</v>
      </c>
      <c r="K17" s="55" t="n">
        <f aca="false">CEILING(J17/(1-0.1),1)</f>
        <v>15</v>
      </c>
      <c r="L17" s="55" t="n">
        <f aca="false">CEILING(J17/(1-0.2),1)</f>
        <v>17</v>
      </c>
      <c r="M17" s="55" t="n">
        <f aca="false">CEILING(J17/(1-0.25),1)</f>
        <v>18</v>
      </c>
      <c r="N17" s="55" t="n">
        <f aca="false">CEILING(J17/(1-0.3),1)</f>
        <v>19</v>
      </c>
      <c r="O17" s="55" t="n">
        <f aca="false">CEILING(J17/(1-0.4),1)</f>
        <v>22</v>
      </c>
    </row>
    <row r="18" customFormat="false" ht="15" hidden="false" customHeight="true" outlineLevel="0" collapsed="false">
      <c r="A18" s="1"/>
      <c r="B18" s="49" t="s">
        <v>139</v>
      </c>
      <c r="C18" s="30" t="s">
        <v>140</v>
      </c>
      <c r="D18" s="32" t="n">
        <v>9.73</v>
      </c>
      <c r="E18" s="51" t="n">
        <f aca="false">D18*2</f>
        <v>19.46</v>
      </c>
      <c r="F18" s="52" t="n">
        <v>12.25</v>
      </c>
      <c r="G18" s="53" t="n">
        <v>0.055</v>
      </c>
      <c r="H18" s="51" t="n">
        <f aca="false">F18*G18</f>
        <v>0.67375</v>
      </c>
      <c r="I18" s="32" t="n">
        <v>0.5</v>
      </c>
      <c r="J18" s="54" t="n">
        <f aca="false">E18+H18+I18</f>
        <v>20.63375</v>
      </c>
      <c r="K18" s="55" t="n">
        <f aca="false">CEILING(J18/(1-0.1),1)</f>
        <v>23</v>
      </c>
      <c r="L18" s="55" t="n">
        <f aca="false">CEILING(J18/(1-0.2),1)</f>
        <v>26</v>
      </c>
      <c r="M18" s="55" t="n">
        <f aca="false">CEILING(J18/(1-0.25),1)</f>
        <v>28</v>
      </c>
      <c r="N18" s="55" t="n">
        <f aca="false">CEILING(J18/(1-0.3),1)</f>
        <v>30</v>
      </c>
      <c r="O18" s="55" t="n">
        <f aca="false">CEILING(J18/(1-0.4),1)</f>
        <v>35</v>
      </c>
    </row>
    <row r="19" customFormat="false" ht="15" hidden="false" customHeight="true" outlineLevel="0" collapsed="false">
      <c r="A19" s="1"/>
      <c r="B19" s="48" t="s">
        <v>292</v>
      </c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</row>
    <row r="20" customFormat="false" ht="15" hidden="false" customHeight="true" outlineLevel="0" collapsed="false">
      <c r="A20" s="1"/>
      <c r="B20" s="49" t="s">
        <v>142</v>
      </c>
      <c r="C20" s="30" t="s">
        <v>143</v>
      </c>
      <c r="D20" s="32" t="n">
        <v>4.5</v>
      </c>
      <c r="E20" s="51" t="n">
        <f aca="false">D20*2</f>
        <v>9</v>
      </c>
      <c r="F20" s="52" t="n">
        <v>78.57</v>
      </c>
      <c r="G20" s="53" t="n">
        <v>0.055</v>
      </c>
      <c r="H20" s="51" t="n">
        <f aca="false">F20*G20</f>
        <v>4.32135</v>
      </c>
      <c r="I20" s="32" t="n">
        <v>0.5</v>
      </c>
      <c r="J20" s="54" t="n">
        <f aca="false">E20+H20+I20</f>
        <v>13.82135</v>
      </c>
      <c r="K20" s="55" t="n">
        <f aca="false">CEILING(J20/(1-0.1),1)</f>
        <v>16</v>
      </c>
      <c r="L20" s="55" t="n">
        <f aca="false">CEILING(J20/(1-0.2),1)</f>
        <v>18</v>
      </c>
      <c r="M20" s="55" t="n">
        <f aca="false">CEILING(J20/(1-0.25),1)</f>
        <v>19</v>
      </c>
      <c r="N20" s="55" t="n">
        <f aca="false">CEILING(J20/(1-0.3),1)</f>
        <v>20</v>
      </c>
      <c r="O20" s="55" t="n">
        <f aca="false">CEILING(J20/(1-0.4),1)</f>
        <v>24</v>
      </c>
    </row>
    <row r="21" customFormat="false" ht="15" hidden="false" customHeight="true" outlineLevel="0" collapsed="false">
      <c r="A21" s="1"/>
      <c r="B21" s="49" t="s">
        <v>144</v>
      </c>
      <c r="C21" s="30" t="s">
        <v>145</v>
      </c>
      <c r="D21" s="32" t="n">
        <v>3.99</v>
      </c>
      <c r="E21" s="51" t="n">
        <f aca="false">D21*2</f>
        <v>7.98</v>
      </c>
      <c r="F21" s="52" t="n">
        <v>78.57</v>
      </c>
      <c r="G21" s="53" t="n">
        <v>0.055</v>
      </c>
      <c r="H21" s="51" t="n">
        <f aca="false">F21*G21</f>
        <v>4.32135</v>
      </c>
      <c r="I21" s="32" t="n">
        <v>0.5</v>
      </c>
      <c r="J21" s="54" t="n">
        <f aca="false">E21+H21+I21</f>
        <v>12.80135</v>
      </c>
      <c r="K21" s="55" t="n">
        <f aca="false">CEILING(J21/(1-0.1),1)</f>
        <v>15</v>
      </c>
      <c r="L21" s="55" t="n">
        <f aca="false">CEILING(J21/(1-0.2),1)</f>
        <v>17</v>
      </c>
      <c r="M21" s="55" t="n">
        <f aca="false">CEILING(J21/(1-0.25),1)</f>
        <v>18</v>
      </c>
      <c r="N21" s="55" t="n">
        <f aca="false">CEILING(J21/(1-0.3),1)</f>
        <v>19</v>
      </c>
      <c r="O21" s="55" t="n">
        <f aca="false">CEILING(J21/(1-0.4),1)</f>
        <v>22</v>
      </c>
    </row>
    <row r="22" customFormat="false" ht="15" hidden="false" customHeight="true" outlineLevel="0" collapsed="false">
      <c r="A22" s="1"/>
      <c r="B22" s="49" t="s">
        <v>146</v>
      </c>
      <c r="C22" s="30" t="s">
        <v>147</v>
      </c>
      <c r="D22" s="32" t="n">
        <v>6</v>
      </c>
      <c r="E22" s="51" t="n">
        <f aca="false">D22*2</f>
        <v>12</v>
      </c>
      <c r="F22" s="52" t="n">
        <v>78.57</v>
      </c>
      <c r="G22" s="53" t="n">
        <v>0.055</v>
      </c>
      <c r="H22" s="51" t="n">
        <f aca="false">F22*G22</f>
        <v>4.32135</v>
      </c>
      <c r="I22" s="32" t="n">
        <v>0.5</v>
      </c>
      <c r="J22" s="54" t="n">
        <f aca="false">E22+H22+I22</f>
        <v>16.82135</v>
      </c>
      <c r="K22" s="55" t="n">
        <f aca="false">CEILING(J22/(1-0.1),1)</f>
        <v>19</v>
      </c>
      <c r="L22" s="55" t="n">
        <f aca="false">CEILING(J22/(1-0.2),1)</f>
        <v>22</v>
      </c>
      <c r="M22" s="55" t="n">
        <f aca="false">CEILING(J22/(1-0.25),1)</f>
        <v>23</v>
      </c>
      <c r="N22" s="55" t="n">
        <f aca="false">CEILING(J22/(1-0.3),1)</f>
        <v>25</v>
      </c>
      <c r="O22" s="55" t="n">
        <f aca="false">CEILING(J22/(1-0.4),1)</f>
        <v>29</v>
      </c>
    </row>
    <row r="23" customFormat="false" ht="15" hidden="false" customHeight="true" outlineLevel="0" collapsed="false">
      <c r="A23" s="1"/>
      <c r="B23" s="49" t="s">
        <v>148</v>
      </c>
      <c r="C23" s="30" t="s">
        <v>149</v>
      </c>
      <c r="D23" s="32" t="n">
        <v>5.5</v>
      </c>
      <c r="E23" s="51" t="n">
        <f aca="false">D23*2</f>
        <v>11</v>
      </c>
      <c r="F23" s="52" t="n">
        <v>78.57</v>
      </c>
      <c r="G23" s="53" t="n">
        <v>0.055</v>
      </c>
      <c r="H23" s="51" t="n">
        <f aca="false">F23*G23</f>
        <v>4.32135</v>
      </c>
      <c r="I23" s="32" t="n">
        <v>0.5</v>
      </c>
      <c r="J23" s="54" t="n">
        <f aca="false">E23+H23+I23</f>
        <v>15.82135</v>
      </c>
      <c r="K23" s="55" t="n">
        <f aca="false">CEILING(J23/(1-0.1),1)</f>
        <v>18</v>
      </c>
      <c r="L23" s="55" t="n">
        <f aca="false">CEILING(J23/(1-0.2),1)</f>
        <v>20</v>
      </c>
      <c r="M23" s="55" t="n">
        <f aca="false">CEILING(J23/(1-0.25),1)</f>
        <v>22</v>
      </c>
      <c r="N23" s="55" t="n">
        <f aca="false">CEILING(J23/(1-0.3),1)</f>
        <v>23</v>
      </c>
      <c r="O23" s="55" t="n">
        <f aca="false">CEILING(J23/(1-0.4),1)</f>
        <v>27</v>
      </c>
    </row>
    <row r="24" customFormat="false" ht="15" hidden="false" customHeight="true" outlineLevel="0" collapsed="false">
      <c r="A24" s="1"/>
      <c r="B24" s="49" t="s">
        <v>150</v>
      </c>
      <c r="C24" s="30" t="s">
        <v>151</v>
      </c>
      <c r="D24" s="32" t="n">
        <v>4.5</v>
      </c>
      <c r="E24" s="51" t="n">
        <f aca="false">D24*2</f>
        <v>9</v>
      </c>
      <c r="F24" s="52" t="n">
        <v>78.57</v>
      </c>
      <c r="G24" s="53" t="n">
        <v>0.055</v>
      </c>
      <c r="H24" s="51" t="n">
        <f aca="false">F24*G24</f>
        <v>4.32135</v>
      </c>
      <c r="I24" s="32" t="n">
        <v>0.5</v>
      </c>
      <c r="J24" s="54" t="n">
        <f aca="false">E24+H24+I24</f>
        <v>13.82135</v>
      </c>
      <c r="K24" s="55" t="n">
        <f aca="false">CEILING(J24/(1-0.1),1)</f>
        <v>16</v>
      </c>
      <c r="L24" s="55" t="n">
        <f aca="false">CEILING(J24/(1-0.2),1)</f>
        <v>18</v>
      </c>
      <c r="M24" s="55" t="n">
        <f aca="false">CEILING(J24/(1-0.25),1)</f>
        <v>19</v>
      </c>
      <c r="N24" s="55" t="n">
        <f aca="false">CEILING(J24/(1-0.3),1)</f>
        <v>20</v>
      </c>
      <c r="O24" s="55" t="n">
        <f aca="false">CEILING(J24/(1-0.4),1)</f>
        <v>24</v>
      </c>
    </row>
    <row r="25" customFormat="false" ht="15" hidden="false" customHeight="true" outlineLevel="0" collapsed="false">
      <c r="A25" s="1"/>
      <c r="B25" s="49" t="s">
        <v>152</v>
      </c>
      <c r="C25" s="30" t="s">
        <v>153</v>
      </c>
      <c r="D25" s="32" t="n">
        <v>10.63</v>
      </c>
      <c r="E25" s="51" t="n">
        <f aca="false">D25*2</f>
        <v>21.26</v>
      </c>
      <c r="F25" s="52" t="n">
        <v>78.57</v>
      </c>
      <c r="G25" s="53" t="n">
        <v>0.055</v>
      </c>
      <c r="H25" s="51" t="n">
        <f aca="false">F25*G25</f>
        <v>4.32135</v>
      </c>
      <c r="I25" s="32" t="n">
        <v>0.5</v>
      </c>
      <c r="J25" s="54" t="n">
        <f aca="false">E25+H25+I25</f>
        <v>26.08135</v>
      </c>
      <c r="K25" s="55" t="n">
        <f aca="false">CEILING(J25/(1-0.1),1)</f>
        <v>29</v>
      </c>
      <c r="L25" s="55" t="n">
        <f aca="false">CEILING(J25/(1-0.2),1)</f>
        <v>33</v>
      </c>
      <c r="M25" s="55" t="n">
        <f aca="false">CEILING(J25/(1-0.25),1)</f>
        <v>35</v>
      </c>
      <c r="N25" s="55" t="n">
        <f aca="false">CEILING(J25/(1-0.3),1)</f>
        <v>38</v>
      </c>
      <c r="O25" s="55" t="n">
        <f aca="false">CEILING(J25/(1-0.4),1)</f>
        <v>44</v>
      </c>
    </row>
    <row r="26" customFormat="false" ht="15" hidden="false" customHeight="true" outlineLevel="0" collapsed="false">
      <c r="A26" s="1"/>
      <c r="B26" s="49" t="s">
        <v>154</v>
      </c>
      <c r="C26" s="30" t="s">
        <v>155</v>
      </c>
      <c r="D26" s="32" t="n">
        <v>7.89</v>
      </c>
      <c r="E26" s="51" t="n">
        <f aca="false">D26*2</f>
        <v>15.78</v>
      </c>
      <c r="F26" s="52" t="n">
        <v>78.57</v>
      </c>
      <c r="G26" s="53" t="n">
        <v>0.055</v>
      </c>
      <c r="H26" s="51" t="n">
        <f aca="false">F26*G26</f>
        <v>4.32135</v>
      </c>
      <c r="I26" s="32" t="n">
        <v>0.5</v>
      </c>
      <c r="J26" s="54" t="n">
        <f aca="false">E26+H26+I26</f>
        <v>20.60135</v>
      </c>
      <c r="K26" s="55" t="n">
        <f aca="false">CEILING(J26/(1-0.1),1)</f>
        <v>23</v>
      </c>
      <c r="L26" s="55" t="n">
        <f aca="false">CEILING(J26/(1-0.2),1)</f>
        <v>26</v>
      </c>
      <c r="M26" s="55" t="n">
        <f aca="false">CEILING(J26/(1-0.25),1)</f>
        <v>28</v>
      </c>
      <c r="N26" s="55" t="n">
        <f aca="false">CEILING(J26/(1-0.3),1)</f>
        <v>30</v>
      </c>
      <c r="O26" s="55" t="n">
        <f aca="false">CEILING(J26/(1-0.4),1)</f>
        <v>35</v>
      </c>
    </row>
    <row r="27" customFormat="false" ht="15" hidden="false" customHeight="true" outlineLevel="0" collapsed="false">
      <c r="A27" s="1"/>
      <c r="B27" s="49" t="s">
        <v>156</v>
      </c>
      <c r="C27" s="30" t="s">
        <v>157</v>
      </c>
      <c r="D27" s="32" t="n">
        <v>15.59</v>
      </c>
      <c r="E27" s="51" t="n">
        <f aca="false">D27*2</f>
        <v>31.18</v>
      </c>
      <c r="F27" s="52" t="n">
        <v>78.57</v>
      </c>
      <c r="G27" s="53" t="n">
        <v>0.055</v>
      </c>
      <c r="H27" s="51" t="n">
        <f aca="false">F27*G27</f>
        <v>4.32135</v>
      </c>
      <c r="I27" s="32" t="n">
        <v>0.5</v>
      </c>
      <c r="J27" s="54" t="n">
        <f aca="false">E27+H27+I27</f>
        <v>36.00135</v>
      </c>
      <c r="K27" s="55" t="n">
        <f aca="false">CEILING(J27/(1-0.1),1)</f>
        <v>41</v>
      </c>
      <c r="L27" s="55" t="n">
        <f aca="false">CEILING(J27/(1-0.2),1)</f>
        <v>46</v>
      </c>
      <c r="M27" s="55" t="n">
        <f aca="false">CEILING(J27/(1-0.25),1)</f>
        <v>49</v>
      </c>
      <c r="N27" s="55" t="n">
        <f aca="false">CEILING(J27/(1-0.3),1)</f>
        <v>52</v>
      </c>
      <c r="O27" s="55" t="n">
        <f aca="false">CEILING(J27/(1-0.4),1)</f>
        <v>61</v>
      </c>
    </row>
    <row r="28" customFormat="false" ht="15" hidden="false" customHeight="true" outlineLevel="0" collapsed="false">
      <c r="A28" s="1"/>
      <c r="B28" s="49" t="s">
        <v>158</v>
      </c>
      <c r="C28" s="30" t="s">
        <v>159</v>
      </c>
      <c r="D28" s="32" t="n">
        <v>12.65</v>
      </c>
      <c r="E28" s="51" t="n">
        <f aca="false">D28*2</f>
        <v>25.3</v>
      </c>
      <c r="F28" s="52" t="n">
        <v>78.57</v>
      </c>
      <c r="G28" s="53" t="n">
        <v>0.055</v>
      </c>
      <c r="H28" s="51" t="n">
        <f aca="false">F28*G28</f>
        <v>4.32135</v>
      </c>
      <c r="I28" s="32" t="n">
        <v>0.5</v>
      </c>
      <c r="J28" s="54" t="n">
        <f aca="false">E28+H28+I28</f>
        <v>30.12135</v>
      </c>
      <c r="K28" s="55" t="n">
        <f aca="false">CEILING(J28/(1-0.1),1)</f>
        <v>34</v>
      </c>
      <c r="L28" s="55" t="n">
        <f aca="false">CEILING(J28/(1-0.2),1)</f>
        <v>38</v>
      </c>
      <c r="M28" s="55" t="n">
        <f aca="false">CEILING(J28/(1-0.25),1)</f>
        <v>41</v>
      </c>
      <c r="N28" s="55" t="n">
        <f aca="false">CEILING(J28/(1-0.3),1)</f>
        <v>44</v>
      </c>
      <c r="O28" s="55" t="n">
        <f aca="false">CEILING(J28/(1-0.4),1)</f>
        <v>51</v>
      </c>
    </row>
    <row r="29" customFormat="false" ht="15" hidden="false" customHeight="true" outlineLevel="0" collapsed="false">
      <c r="A29" s="1"/>
      <c r="B29" s="49" t="s">
        <v>160</v>
      </c>
      <c r="C29" s="30" t="s">
        <v>161</v>
      </c>
      <c r="D29" s="32" t="n">
        <v>11.1</v>
      </c>
      <c r="E29" s="51" t="n">
        <f aca="false">D29*2</f>
        <v>22.2</v>
      </c>
      <c r="F29" s="52" t="n">
        <v>78.57</v>
      </c>
      <c r="G29" s="53" t="n">
        <v>0.055</v>
      </c>
      <c r="H29" s="51" t="n">
        <f aca="false">F29*G29</f>
        <v>4.32135</v>
      </c>
      <c r="I29" s="32" t="n">
        <v>0.5</v>
      </c>
      <c r="J29" s="54" t="n">
        <f aca="false">E29+H29+I29</f>
        <v>27.02135</v>
      </c>
      <c r="K29" s="55" t="n">
        <f aca="false">CEILING(J29/(1-0.1),1)</f>
        <v>31</v>
      </c>
      <c r="L29" s="55" t="n">
        <f aca="false">CEILING(J29/(1-0.2),1)</f>
        <v>34</v>
      </c>
      <c r="M29" s="55" t="n">
        <f aca="false">CEILING(J29/(1-0.25),1)</f>
        <v>37</v>
      </c>
      <c r="N29" s="55" t="n">
        <f aca="false">CEILING(J29/(1-0.3),1)</f>
        <v>39</v>
      </c>
      <c r="O29" s="55" t="n">
        <f aca="false">CEILING(J29/(1-0.4),1)</f>
        <v>46</v>
      </c>
    </row>
    <row r="30" customFormat="false" ht="15" hidden="false" customHeight="true" outlineLevel="0" collapsed="false">
      <c r="A30" s="1"/>
      <c r="B30" s="49" t="s">
        <v>162</v>
      </c>
      <c r="C30" s="30" t="s">
        <v>163</v>
      </c>
      <c r="D30" s="32" t="n">
        <v>10.34</v>
      </c>
      <c r="E30" s="51" t="n">
        <f aca="false">D30*2</f>
        <v>20.68</v>
      </c>
      <c r="F30" s="52" t="n">
        <v>78.57</v>
      </c>
      <c r="G30" s="53" t="n">
        <v>0.055</v>
      </c>
      <c r="H30" s="51" t="n">
        <f aca="false">F30*G30</f>
        <v>4.32135</v>
      </c>
      <c r="I30" s="32" t="n">
        <v>0.5</v>
      </c>
      <c r="J30" s="54" t="n">
        <f aca="false">E30+H30+I30</f>
        <v>25.50135</v>
      </c>
      <c r="K30" s="55" t="n">
        <f aca="false">CEILING(J30/(1-0.1),1)</f>
        <v>29</v>
      </c>
      <c r="L30" s="55" t="n">
        <f aca="false">CEILING(J30/(1-0.2),1)</f>
        <v>32</v>
      </c>
      <c r="M30" s="55" t="n">
        <f aca="false">CEILING(J30/(1-0.25),1)</f>
        <v>35</v>
      </c>
      <c r="N30" s="55" t="n">
        <f aca="false">CEILING(J30/(1-0.3),1)</f>
        <v>37</v>
      </c>
      <c r="O30" s="55" t="n">
        <f aca="false">CEILING(J30/(1-0.4),1)</f>
        <v>43</v>
      </c>
    </row>
    <row r="31" customFormat="false" ht="15" hidden="false" customHeight="true" outlineLevel="0" collapsed="false">
      <c r="A31" s="1"/>
      <c r="B31" s="49" t="s">
        <v>164</v>
      </c>
      <c r="C31" s="30" t="s">
        <v>165</v>
      </c>
      <c r="D31" s="32" t="n">
        <v>7.23</v>
      </c>
      <c r="E31" s="51" t="n">
        <f aca="false">D31*2</f>
        <v>14.46</v>
      </c>
      <c r="F31" s="52" t="n">
        <v>78.57</v>
      </c>
      <c r="G31" s="53" t="n">
        <v>0.055</v>
      </c>
      <c r="H31" s="51" t="n">
        <f aca="false">F31*G31</f>
        <v>4.32135</v>
      </c>
      <c r="I31" s="32" t="n">
        <v>0.5</v>
      </c>
      <c r="J31" s="54" t="n">
        <f aca="false">E31+H31+I31</f>
        <v>19.28135</v>
      </c>
      <c r="K31" s="55" t="n">
        <f aca="false">CEILING(J31/(1-0.1),1)</f>
        <v>22</v>
      </c>
      <c r="L31" s="55" t="n">
        <f aca="false">CEILING(J31/(1-0.2),1)</f>
        <v>25</v>
      </c>
      <c r="M31" s="55" t="n">
        <f aca="false">CEILING(J31/(1-0.25),1)</f>
        <v>26</v>
      </c>
      <c r="N31" s="55" t="n">
        <f aca="false">CEILING(J31/(1-0.3),1)</f>
        <v>28</v>
      </c>
      <c r="O31" s="55" t="n">
        <f aca="false">CEILING(J31/(1-0.4),1)</f>
        <v>33</v>
      </c>
    </row>
    <row r="32" customFormat="false" ht="15" hidden="false" customHeight="true" outlineLevel="0" collapsed="false">
      <c r="A32" s="1"/>
      <c r="B32" s="49" t="s">
        <v>166</v>
      </c>
      <c r="C32" s="30" t="s">
        <v>167</v>
      </c>
      <c r="D32" s="32" t="n">
        <v>4.15</v>
      </c>
      <c r="E32" s="51" t="n">
        <f aca="false">D32*2</f>
        <v>8.3</v>
      </c>
      <c r="F32" s="52" t="n">
        <v>12.25</v>
      </c>
      <c r="G32" s="53" t="n">
        <v>0.055</v>
      </c>
      <c r="H32" s="51" t="n">
        <f aca="false">F32*G32</f>
        <v>0.67375</v>
      </c>
      <c r="I32" s="32" t="n">
        <v>0.5</v>
      </c>
      <c r="J32" s="54" t="n">
        <f aca="false">E32+H32+I32</f>
        <v>9.47375</v>
      </c>
      <c r="K32" s="55" t="n">
        <f aca="false">CEILING(J32/(1-0.1),1)</f>
        <v>11</v>
      </c>
      <c r="L32" s="55" t="n">
        <f aca="false">CEILING(J32/(1-0.2),1)</f>
        <v>12</v>
      </c>
      <c r="M32" s="55" t="n">
        <f aca="false">CEILING(J32/(1-0.25),1)</f>
        <v>13</v>
      </c>
      <c r="N32" s="55" t="n">
        <f aca="false">CEILING(J32/(1-0.3),1)</f>
        <v>14</v>
      </c>
      <c r="O32" s="55" t="n">
        <f aca="false">CEILING(J32/(1-0.4),1)</f>
        <v>16</v>
      </c>
    </row>
    <row r="33" customFormat="false" ht="15" hidden="false" customHeight="true" outlineLevel="0" collapsed="false">
      <c r="A33" s="1"/>
      <c r="B33" s="49" t="s">
        <v>168</v>
      </c>
      <c r="C33" s="30" t="s">
        <v>169</v>
      </c>
      <c r="D33" s="32" t="n">
        <v>4.15</v>
      </c>
      <c r="E33" s="51" t="n">
        <f aca="false">D33*2</f>
        <v>8.3</v>
      </c>
      <c r="F33" s="52" t="n">
        <v>12.25</v>
      </c>
      <c r="G33" s="53" t="n">
        <v>0.055</v>
      </c>
      <c r="H33" s="51" t="n">
        <f aca="false">F33*G33</f>
        <v>0.67375</v>
      </c>
      <c r="I33" s="32" t="n">
        <v>0.5</v>
      </c>
      <c r="J33" s="54" t="n">
        <f aca="false">E33+H33+I33</f>
        <v>9.47375</v>
      </c>
      <c r="K33" s="55" t="n">
        <f aca="false">CEILING(J33/(1-0.1),1)</f>
        <v>11</v>
      </c>
      <c r="L33" s="55" t="n">
        <f aca="false">CEILING(J33/(1-0.2),1)</f>
        <v>12</v>
      </c>
      <c r="M33" s="55" t="n">
        <f aca="false">CEILING(J33/(1-0.25),1)</f>
        <v>13</v>
      </c>
      <c r="N33" s="55" t="n">
        <f aca="false">CEILING(J33/(1-0.3),1)</f>
        <v>14</v>
      </c>
      <c r="O33" s="55" t="n">
        <f aca="false">CEILING(J33/(1-0.4),1)</f>
        <v>16</v>
      </c>
    </row>
    <row r="34" customFormat="false" ht="15" hidden="false" customHeight="true" outlineLevel="0" collapsed="false">
      <c r="A34" s="1"/>
      <c r="B34" s="49" t="s">
        <v>170</v>
      </c>
      <c r="C34" s="30" t="s">
        <v>171</v>
      </c>
      <c r="D34" s="32" t="n">
        <v>4.15</v>
      </c>
      <c r="E34" s="51" t="n">
        <f aca="false">D34*2</f>
        <v>8.3</v>
      </c>
      <c r="F34" s="52" t="n">
        <v>12.25</v>
      </c>
      <c r="G34" s="53" t="n">
        <v>0.055</v>
      </c>
      <c r="H34" s="51" t="n">
        <f aca="false">F34*G34</f>
        <v>0.67375</v>
      </c>
      <c r="I34" s="32" t="n">
        <v>0.5</v>
      </c>
      <c r="J34" s="54" t="n">
        <f aca="false">E34+H34+I34</f>
        <v>9.47375</v>
      </c>
      <c r="K34" s="55" t="n">
        <f aca="false">CEILING(J34/(1-0.1),1)</f>
        <v>11</v>
      </c>
      <c r="L34" s="55" t="n">
        <f aca="false">CEILING(J34/(1-0.2),1)</f>
        <v>12</v>
      </c>
      <c r="M34" s="55" t="n">
        <f aca="false">CEILING(J34/(1-0.25),1)</f>
        <v>13</v>
      </c>
      <c r="N34" s="55" t="n">
        <f aca="false">CEILING(J34/(1-0.3),1)</f>
        <v>14</v>
      </c>
      <c r="O34" s="55" t="n">
        <f aca="false">CEILING(J34/(1-0.4),1)</f>
        <v>16</v>
      </c>
    </row>
    <row r="35" customFormat="false" ht="15" hidden="false" customHeight="true" outlineLevel="0" collapsed="false">
      <c r="A35" s="1"/>
      <c r="B35" s="48" t="s">
        <v>293</v>
      </c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customFormat="false" ht="15" hidden="false" customHeight="true" outlineLevel="0" collapsed="false">
      <c r="A36" s="1"/>
      <c r="B36" s="49" t="s">
        <v>179</v>
      </c>
      <c r="C36" s="30" t="s">
        <v>180</v>
      </c>
      <c r="D36" s="32" t="n">
        <v>5.68</v>
      </c>
      <c r="E36" s="51" t="n">
        <f aca="false">D36*2</f>
        <v>11.36</v>
      </c>
      <c r="F36" s="52" t="n">
        <v>78.57</v>
      </c>
      <c r="G36" s="53" t="n">
        <v>0.055</v>
      </c>
      <c r="H36" s="51" t="n">
        <f aca="false">F36*G36</f>
        <v>4.32135</v>
      </c>
      <c r="I36" s="32" t="n">
        <v>0.5</v>
      </c>
      <c r="J36" s="54" t="n">
        <f aca="false">E36+H36+I36</f>
        <v>16.18135</v>
      </c>
      <c r="K36" s="55" t="n">
        <f aca="false">CEILING(J36/(1-0.1),1)</f>
        <v>18</v>
      </c>
      <c r="L36" s="55" t="n">
        <f aca="false">CEILING(J36/(1-0.2),1)</f>
        <v>21</v>
      </c>
      <c r="M36" s="55" t="n">
        <f aca="false">CEILING(J36/(1-0.25),1)</f>
        <v>22</v>
      </c>
      <c r="N36" s="55" t="n">
        <f aca="false">CEILING(J36/(1-0.3),1)</f>
        <v>24</v>
      </c>
      <c r="O36" s="55" t="n">
        <f aca="false">CEILING(J36/(1-0.4),1)</f>
        <v>27</v>
      </c>
    </row>
    <row r="37" customFormat="false" ht="15" hidden="false" customHeight="true" outlineLevel="0" collapsed="false">
      <c r="A37" s="1"/>
      <c r="B37" s="49" t="s">
        <v>181</v>
      </c>
      <c r="C37" s="30" t="s">
        <v>182</v>
      </c>
      <c r="D37" s="32" t="n">
        <v>8.27</v>
      </c>
      <c r="E37" s="51" t="n">
        <f aca="false">D37*2</f>
        <v>16.54</v>
      </c>
      <c r="F37" s="52" t="n">
        <v>78.57</v>
      </c>
      <c r="G37" s="53" t="n">
        <v>0.055</v>
      </c>
      <c r="H37" s="51" t="n">
        <f aca="false">F37*G37</f>
        <v>4.32135</v>
      </c>
      <c r="I37" s="32" t="n">
        <v>0.5</v>
      </c>
      <c r="J37" s="54" t="n">
        <f aca="false">E37+H37+I37</f>
        <v>21.36135</v>
      </c>
      <c r="K37" s="55" t="n">
        <f aca="false">CEILING(J37/(1-0.1),1)</f>
        <v>24</v>
      </c>
      <c r="L37" s="55" t="n">
        <f aca="false">CEILING(J37/(1-0.2),1)</f>
        <v>27</v>
      </c>
      <c r="M37" s="55" t="n">
        <f aca="false">CEILING(J37/(1-0.25),1)</f>
        <v>29</v>
      </c>
      <c r="N37" s="55" t="n">
        <f aca="false">CEILING(J37/(1-0.3),1)</f>
        <v>31</v>
      </c>
      <c r="O37" s="55" t="n">
        <f aca="false">CEILING(J37/(1-0.4),1)</f>
        <v>36</v>
      </c>
    </row>
    <row r="38" customFormat="false" ht="15" hidden="false" customHeight="true" outlineLevel="0" collapsed="false">
      <c r="A38" s="1"/>
      <c r="B38" s="49" t="s">
        <v>183</v>
      </c>
      <c r="C38" s="30" t="s">
        <v>184</v>
      </c>
      <c r="D38" s="32" t="n">
        <v>4.65</v>
      </c>
      <c r="E38" s="51" t="n">
        <f aca="false">D38*2</f>
        <v>9.3</v>
      </c>
      <c r="F38" s="52" t="n">
        <v>78.57</v>
      </c>
      <c r="G38" s="53" t="n">
        <v>0.055</v>
      </c>
      <c r="H38" s="51" t="n">
        <f aca="false">F38*G38</f>
        <v>4.32135</v>
      </c>
      <c r="I38" s="32" t="n">
        <v>0.5</v>
      </c>
      <c r="J38" s="54" t="n">
        <f aca="false">E38+H38+I38</f>
        <v>14.12135</v>
      </c>
      <c r="K38" s="55" t="n">
        <f aca="false">CEILING(J38/(1-0.1),1)</f>
        <v>16</v>
      </c>
      <c r="L38" s="55" t="n">
        <f aca="false">CEILING(J38/(1-0.2),1)</f>
        <v>18</v>
      </c>
      <c r="M38" s="55" t="n">
        <f aca="false">CEILING(J38/(1-0.25),1)</f>
        <v>19</v>
      </c>
      <c r="N38" s="55" t="n">
        <f aca="false">CEILING(J38/(1-0.3),1)</f>
        <v>21</v>
      </c>
      <c r="O38" s="55" t="n">
        <f aca="false">CEILING(J38/(1-0.4),1)</f>
        <v>24</v>
      </c>
    </row>
    <row r="39" customFormat="false" ht="15" hidden="false" customHeight="true" outlineLevel="0" collapsed="false">
      <c r="A39" s="1"/>
      <c r="B39" s="49" t="s">
        <v>185</v>
      </c>
      <c r="C39" s="30" t="s">
        <v>186</v>
      </c>
      <c r="D39" s="32" t="n">
        <v>10.86</v>
      </c>
      <c r="E39" s="51" t="n">
        <f aca="false">D39*2</f>
        <v>21.72</v>
      </c>
      <c r="F39" s="52" t="n">
        <v>78.57</v>
      </c>
      <c r="G39" s="53" t="n">
        <v>0.055</v>
      </c>
      <c r="H39" s="51" t="n">
        <f aca="false">F39*G39</f>
        <v>4.32135</v>
      </c>
      <c r="I39" s="32" t="n">
        <v>0.5</v>
      </c>
      <c r="J39" s="54" t="n">
        <f aca="false">E39+H39+I39</f>
        <v>26.54135</v>
      </c>
      <c r="K39" s="55" t="n">
        <f aca="false">CEILING(J39/(1-0.1),1)</f>
        <v>30</v>
      </c>
      <c r="L39" s="55" t="n">
        <f aca="false">CEILING(J39/(1-0.2),1)</f>
        <v>34</v>
      </c>
      <c r="M39" s="55" t="n">
        <f aca="false">CEILING(J39/(1-0.25),1)</f>
        <v>36</v>
      </c>
      <c r="N39" s="55" t="n">
        <f aca="false">CEILING(J39/(1-0.3),1)</f>
        <v>38</v>
      </c>
      <c r="O39" s="55" t="n">
        <f aca="false">CEILING(J39/(1-0.4),1)</f>
        <v>45</v>
      </c>
    </row>
    <row r="40" customFormat="false" ht="15" hidden="false" customHeight="true" outlineLevel="0" collapsed="false">
      <c r="A40" s="1"/>
      <c r="B40" s="49" t="s">
        <v>187</v>
      </c>
      <c r="C40" s="30" t="s">
        <v>188</v>
      </c>
      <c r="D40" s="32" t="n">
        <v>7.23</v>
      </c>
      <c r="E40" s="51" t="n">
        <f aca="false">D40*2</f>
        <v>14.46</v>
      </c>
      <c r="F40" s="52" t="n">
        <v>78.57</v>
      </c>
      <c r="G40" s="53" t="n">
        <v>0.055</v>
      </c>
      <c r="H40" s="51" t="n">
        <f aca="false">F40*G40</f>
        <v>4.32135</v>
      </c>
      <c r="I40" s="32" t="n">
        <v>0.5</v>
      </c>
      <c r="J40" s="54" t="n">
        <f aca="false">E40+H40+I40</f>
        <v>19.28135</v>
      </c>
      <c r="K40" s="55" t="n">
        <f aca="false">CEILING(J40/(1-0.1),1)</f>
        <v>22</v>
      </c>
      <c r="L40" s="55" t="n">
        <f aca="false">CEILING(J40/(1-0.2),1)</f>
        <v>25</v>
      </c>
      <c r="M40" s="55" t="n">
        <f aca="false">CEILING(J40/(1-0.25),1)</f>
        <v>26</v>
      </c>
      <c r="N40" s="55" t="n">
        <f aca="false">CEILING(J40/(1-0.3),1)</f>
        <v>28</v>
      </c>
      <c r="O40" s="55" t="n">
        <f aca="false">CEILING(J40/(1-0.4),1)</f>
        <v>33</v>
      </c>
    </row>
    <row r="41" customFormat="false" ht="15" hidden="false" customHeight="true" outlineLevel="0" collapsed="false">
      <c r="A41" s="1"/>
      <c r="B41" s="49" t="s">
        <v>189</v>
      </c>
      <c r="C41" s="30" t="s">
        <v>190</v>
      </c>
      <c r="D41" s="32" t="n">
        <v>6.72</v>
      </c>
      <c r="E41" s="51" t="n">
        <f aca="false">D41*2</f>
        <v>13.44</v>
      </c>
      <c r="F41" s="52" t="n">
        <v>78.57</v>
      </c>
      <c r="G41" s="53" t="n">
        <v>0.055</v>
      </c>
      <c r="H41" s="51" t="n">
        <f aca="false">F41*G41</f>
        <v>4.32135</v>
      </c>
      <c r="I41" s="32" t="n">
        <v>0.5</v>
      </c>
      <c r="J41" s="54" t="n">
        <f aca="false">E41+H41+I41</f>
        <v>18.26135</v>
      </c>
      <c r="K41" s="55" t="n">
        <f aca="false">CEILING(J41/(1-0.1),1)</f>
        <v>21</v>
      </c>
      <c r="L41" s="55" t="n">
        <f aca="false">CEILING(J41/(1-0.2),1)</f>
        <v>23</v>
      </c>
      <c r="M41" s="55" t="n">
        <f aca="false">CEILING(J41/(1-0.25),1)</f>
        <v>25</v>
      </c>
      <c r="N41" s="55" t="n">
        <f aca="false">CEILING(J41/(1-0.3),1)</f>
        <v>27</v>
      </c>
      <c r="O41" s="55" t="n">
        <f aca="false">CEILING(J41/(1-0.4),1)</f>
        <v>31</v>
      </c>
    </row>
    <row r="42" customFormat="false" ht="15" hidden="false" customHeight="true" outlineLevel="0" collapsed="false">
      <c r="A42" s="1"/>
      <c r="B42" s="49" t="s">
        <v>191</v>
      </c>
      <c r="C42" s="30" t="s">
        <v>192</v>
      </c>
      <c r="D42" s="32" t="n">
        <v>16.55</v>
      </c>
      <c r="E42" s="51" t="n">
        <f aca="false">D42*2</f>
        <v>33.1</v>
      </c>
      <c r="F42" s="52" t="n">
        <v>78.57</v>
      </c>
      <c r="G42" s="53" t="n">
        <v>0.055</v>
      </c>
      <c r="H42" s="51" t="n">
        <f aca="false">F42*G42</f>
        <v>4.32135</v>
      </c>
      <c r="I42" s="32" t="n">
        <v>0.5</v>
      </c>
      <c r="J42" s="54" t="n">
        <f aca="false">E42+H42+I42</f>
        <v>37.92135</v>
      </c>
      <c r="K42" s="55" t="n">
        <f aca="false">CEILING(J42/(1-0.1),1)</f>
        <v>43</v>
      </c>
      <c r="L42" s="55" t="n">
        <f aca="false">CEILING(J42/(1-0.2),1)</f>
        <v>48</v>
      </c>
      <c r="M42" s="55" t="n">
        <f aca="false">CEILING(J42/(1-0.25),1)</f>
        <v>51</v>
      </c>
      <c r="N42" s="55" t="n">
        <f aca="false">CEILING(J42/(1-0.3),1)</f>
        <v>55</v>
      </c>
      <c r="O42" s="55" t="n">
        <f aca="false">CEILING(J42/(1-0.4),1)</f>
        <v>64</v>
      </c>
    </row>
    <row r="43" customFormat="false" ht="15" hidden="false" customHeight="true" outlineLevel="0" collapsed="false">
      <c r="A43" s="1"/>
      <c r="B43" s="49" t="s">
        <v>193</v>
      </c>
      <c r="C43" s="30" t="s">
        <v>194</v>
      </c>
      <c r="D43" s="32" t="n">
        <v>5.16</v>
      </c>
      <c r="E43" s="51" t="n">
        <f aca="false">D43*2</f>
        <v>10.32</v>
      </c>
      <c r="F43" s="52" t="n">
        <v>78.57</v>
      </c>
      <c r="G43" s="53" t="n">
        <v>0.055</v>
      </c>
      <c r="H43" s="51" t="n">
        <f aca="false">F43*G43</f>
        <v>4.32135</v>
      </c>
      <c r="I43" s="32" t="n">
        <v>0.5</v>
      </c>
      <c r="J43" s="54" t="n">
        <f aca="false">E43+H43+I43</f>
        <v>15.14135</v>
      </c>
      <c r="K43" s="55" t="n">
        <f aca="false">CEILING(J43/(1-0.1),1)</f>
        <v>17</v>
      </c>
      <c r="L43" s="55" t="n">
        <f aca="false">CEILING(J43/(1-0.2),1)</f>
        <v>19</v>
      </c>
      <c r="M43" s="55" t="n">
        <f aca="false">CEILING(J43/(1-0.25),1)</f>
        <v>21</v>
      </c>
      <c r="N43" s="55" t="n">
        <f aca="false">CEILING(J43/(1-0.3),1)</f>
        <v>22</v>
      </c>
      <c r="O43" s="55" t="n">
        <f aca="false">CEILING(J43/(1-0.4),1)</f>
        <v>26</v>
      </c>
    </row>
    <row r="44" customFormat="false" ht="15" hidden="false" customHeight="true" outlineLevel="0" collapsed="false">
      <c r="A44" s="1"/>
      <c r="B44" s="49" t="s">
        <v>195</v>
      </c>
      <c r="C44" s="30" t="s">
        <v>196</v>
      </c>
      <c r="D44" s="32" t="n">
        <v>6.2</v>
      </c>
      <c r="E44" s="51" t="n">
        <f aca="false">D44*2</f>
        <v>12.4</v>
      </c>
      <c r="F44" s="52" t="n">
        <v>78.57</v>
      </c>
      <c r="G44" s="53" t="n">
        <v>0.055</v>
      </c>
      <c r="H44" s="51" t="n">
        <f aca="false">F44*G44</f>
        <v>4.32135</v>
      </c>
      <c r="I44" s="32" t="n">
        <v>0.5</v>
      </c>
      <c r="J44" s="54" t="n">
        <f aca="false">E44+H44+I44</f>
        <v>17.22135</v>
      </c>
      <c r="K44" s="55" t="n">
        <f aca="false">CEILING(J44/(1-0.1),1)</f>
        <v>20</v>
      </c>
      <c r="L44" s="55" t="n">
        <f aca="false">CEILING(J44/(1-0.2),1)</f>
        <v>22</v>
      </c>
      <c r="M44" s="55" t="n">
        <f aca="false">CEILING(J44/(1-0.25),1)</f>
        <v>23</v>
      </c>
      <c r="N44" s="55" t="n">
        <f aca="false">CEILING(J44/(1-0.3),1)</f>
        <v>25</v>
      </c>
      <c r="O44" s="55" t="n">
        <f aca="false">CEILING(J44/(1-0.4),1)</f>
        <v>29</v>
      </c>
    </row>
    <row r="45" customFormat="false" ht="15" hidden="false" customHeight="true" outlineLevel="0" collapsed="false">
      <c r="A45" s="1"/>
      <c r="B45" s="49" t="s">
        <v>197</v>
      </c>
      <c r="C45" s="30" t="s">
        <v>198</v>
      </c>
      <c r="D45" s="32" t="n">
        <v>14.49</v>
      </c>
      <c r="E45" s="51" t="n">
        <f aca="false">D45*2</f>
        <v>28.98</v>
      </c>
      <c r="F45" s="52" t="n">
        <v>78.57</v>
      </c>
      <c r="G45" s="53" t="n">
        <v>0.055</v>
      </c>
      <c r="H45" s="51" t="n">
        <f aca="false">F45*G45</f>
        <v>4.32135</v>
      </c>
      <c r="I45" s="32" t="n">
        <v>0.5</v>
      </c>
      <c r="J45" s="54" t="n">
        <f aca="false">E45+H45+I45</f>
        <v>33.80135</v>
      </c>
      <c r="K45" s="55" t="n">
        <f aca="false">CEILING(J45/(1-0.1),1)</f>
        <v>38</v>
      </c>
      <c r="L45" s="55" t="n">
        <f aca="false">CEILING(J45/(1-0.2),1)</f>
        <v>43</v>
      </c>
      <c r="M45" s="55" t="n">
        <f aca="false">CEILING(J45/(1-0.25),1)</f>
        <v>46</v>
      </c>
      <c r="N45" s="55" t="n">
        <f aca="false">CEILING(J45/(1-0.3),1)</f>
        <v>49</v>
      </c>
      <c r="O45" s="55" t="n">
        <f aca="false">CEILING(J45/(1-0.4),1)</f>
        <v>57</v>
      </c>
    </row>
    <row r="46" customFormat="false" ht="15" hidden="false" customHeight="true" outlineLevel="0" collapsed="false">
      <c r="A46" s="1"/>
      <c r="B46" s="49" t="s">
        <v>199</v>
      </c>
      <c r="C46" s="30" t="s">
        <v>200</v>
      </c>
      <c r="D46" s="32" t="n">
        <v>4.49</v>
      </c>
      <c r="E46" s="51" t="n">
        <f aca="false">D46*2</f>
        <v>8.98</v>
      </c>
      <c r="F46" s="52" t="n">
        <v>78.57</v>
      </c>
      <c r="G46" s="53" t="n">
        <v>0.055</v>
      </c>
      <c r="H46" s="51" t="n">
        <f aca="false">F46*G46</f>
        <v>4.32135</v>
      </c>
      <c r="I46" s="32" t="n">
        <v>0.5</v>
      </c>
      <c r="J46" s="54" t="n">
        <f aca="false">E46+H46+I46</f>
        <v>13.80135</v>
      </c>
      <c r="K46" s="55" t="n">
        <f aca="false">CEILING(J46/(1-0.1),1)</f>
        <v>16</v>
      </c>
      <c r="L46" s="55" t="n">
        <f aca="false">CEILING(J46/(1-0.2),1)</f>
        <v>18</v>
      </c>
      <c r="M46" s="55" t="n">
        <f aca="false">CEILING(J46/(1-0.25),1)</f>
        <v>19</v>
      </c>
      <c r="N46" s="55" t="n">
        <f aca="false">CEILING(J46/(1-0.3),1)</f>
        <v>20</v>
      </c>
      <c r="O46" s="55" t="n">
        <f aca="false">CEILING(J46/(1-0.4),1)</f>
        <v>24</v>
      </c>
    </row>
    <row r="47" customFormat="false" ht="15" hidden="false" customHeight="true" outlineLevel="0" collapsed="false">
      <c r="A47" s="1"/>
      <c r="B47" s="49" t="s">
        <v>144</v>
      </c>
      <c r="C47" s="30" t="s">
        <v>201</v>
      </c>
      <c r="D47" s="32" t="n">
        <v>3.99</v>
      </c>
      <c r="E47" s="51" t="n">
        <f aca="false">D47*2</f>
        <v>7.98</v>
      </c>
      <c r="F47" s="52" t="n">
        <v>78.57</v>
      </c>
      <c r="G47" s="53" t="n">
        <v>0.055</v>
      </c>
      <c r="H47" s="51" t="n">
        <f aca="false">F47*G47</f>
        <v>4.32135</v>
      </c>
      <c r="I47" s="32" t="n">
        <v>0.5</v>
      </c>
      <c r="J47" s="54" t="n">
        <f aca="false">E47+H47+I47</f>
        <v>12.80135</v>
      </c>
      <c r="K47" s="55" t="n">
        <f aca="false">CEILING(J47/(1-0.1),1)</f>
        <v>15</v>
      </c>
      <c r="L47" s="55" t="n">
        <f aca="false">CEILING(J47/(1-0.2),1)</f>
        <v>17</v>
      </c>
      <c r="M47" s="55" t="n">
        <f aca="false">CEILING(J47/(1-0.25),1)</f>
        <v>18</v>
      </c>
      <c r="N47" s="55" t="n">
        <f aca="false">CEILING(J47/(1-0.3),1)</f>
        <v>19</v>
      </c>
      <c r="O47" s="55" t="n">
        <f aca="false">CEILING(J47/(1-0.4),1)</f>
        <v>22</v>
      </c>
    </row>
    <row r="48" customFormat="false" ht="15" hidden="false" customHeight="true" outlineLevel="0" collapsed="false">
      <c r="A48" s="1"/>
      <c r="B48" s="49" t="s">
        <v>202</v>
      </c>
      <c r="C48" s="30" t="s">
        <v>203</v>
      </c>
      <c r="D48" s="32" t="n">
        <v>4.36</v>
      </c>
      <c r="E48" s="51" t="n">
        <f aca="false">D48*2</f>
        <v>8.72</v>
      </c>
      <c r="F48" s="52" t="n">
        <v>78.57</v>
      </c>
      <c r="G48" s="53" t="n">
        <v>0.055</v>
      </c>
      <c r="H48" s="51" t="n">
        <f aca="false">F48*G48</f>
        <v>4.32135</v>
      </c>
      <c r="I48" s="32" t="n">
        <v>0.5</v>
      </c>
      <c r="J48" s="54" t="n">
        <f aca="false">E48+H48+I48</f>
        <v>13.54135</v>
      </c>
      <c r="K48" s="55" t="n">
        <f aca="false">CEILING(J48/(1-0.1),1)</f>
        <v>16</v>
      </c>
      <c r="L48" s="55" t="n">
        <f aca="false">CEILING(J48/(1-0.2),1)</f>
        <v>17</v>
      </c>
      <c r="M48" s="55" t="n">
        <f aca="false">CEILING(J48/(1-0.25),1)</f>
        <v>19</v>
      </c>
      <c r="N48" s="55" t="n">
        <f aca="false">CEILING(J48/(1-0.3),1)</f>
        <v>20</v>
      </c>
      <c r="O48" s="55" t="n">
        <f aca="false">CEILING(J48/(1-0.4),1)</f>
        <v>23</v>
      </c>
    </row>
    <row r="49" customFormat="false" ht="15" hidden="false" customHeight="true" outlineLevel="0" collapsed="false">
      <c r="A49" s="1"/>
      <c r="B49" s="49" t="s">
        <v>146</v>
      </c>
      <c r="C49" s="30" t="s">
        <v>204</v>
      </c>
      <c r="D49" s="32" t="n">
        <v>6.99</v>
      </c>
      <c r="E49" s="51" t="n">
        <f aca="false">D49*2</f>
        <v>13.98</v>
      </c>
      <c r="F49" s="52" t="n">
        <v>78.57</v>
      </c>
      <c r="G49" s="53" t="n">
        <v>0.055</v>
      </c>
      <c r="H49" s="51" t="n">
        <f aca="false">F49*G49</f>
        <v>4.32135</v>
      </c>
      <c r="I49" s="32" t="n">
        <v>0.5</v>
      </c>
      <c r="J49" s="54" t="n">
        <f aca="false">E49+H49+I49</f>
        <v>18.80135</v>
      </c>
      <c r="K49" s="55" t="n">
        <f aca="false">CEILING(J49/(1-0.1),1)</f>
        <v>21</v>
      </c>
      <c r="L49" s="55" t="n">
        <f aca="false">CEILING(J49/(1-0.2),1)</f>
        <v>24</v>
      </c>
      <c r="M49" s="55" t="n">
        <f aca="false">CEILING(J49/(1-0.25),1)</f>
        <v>26</v>
      </c>
      <c r="N49" s="55" t="n">
        <f aca="false">CEILING(J49/(1-0.3),1)</f>
        <v>27</v>
      </c>
      <c r="O49" s="55" t="n">
        <f aca="false">CEILING(J49/(1-0.4),1)</f>
        <v>32</v>
      </c>
    </row>
    <row r="50" customFormat="false" ht="15" hidden="false" customHeight="true" outlineLevel="0" collapsed="false">
      <c r="A50" s="1"/>
      <c r="B50" s="49" t="s">
        <v>148</v>
      </c>
      <c r="C50" s="30" t="s">
        <v>205</v>
      </c>
      <c r="D50" s="32" t="n">
        <v>6.37</v>
      </c>
      <c r="E50" s="51" t="n">
        <f aca="false">D50*2</f>
        <v>12.74</v>
      </c>
      <c r="F50" s="52" t="n">
        <v>78.57</v>
      </c>
      <c r="G50" s="53" t="n">
        <v>0.055</v>
      </c>
      <c r="H50" s="51" t="n">
        <f aca="false">F50*G50</f>
        <v>4.32135</v>
      </c>
      <c r="I50" s="32" t="n">
        <v>0.5</v>
      </c>
      <c r="J50" s="54" t="n">
        <f aca="false">E50+H50+I50</f>
        <v>17.56135</v>
      </c>
      <c r="K50" s="55" t="n">
        <f aca="false">CEILING(J50/(1-0.1),1)</f>
        <v>20</v>
      </c>
      <c r="L50" s="55" t="n">
        <f aca="false">CEILING(J50/(1-0.2),1)</f>
        <v>22</v>
      </c>
      <c r="M50" s="55" t="n">
        <f aca="false">CEILING(J50/(1-0.25),1)</f>
        <v>24</v>
      </c>
      <c r="N50" s="55" t="n">
        <f aca="false">CEILING(J50/(1-0.3),1)</f>
        <v>26</v>
      </c>
      <c r="O50" s="55" t="n">
        <f aca="false">CEILING(J50/(1-0.4),1)</f>
        <v>30</v>
      </c>
    </row>
    <row r="51" customFormat="false" ht="15" hidden="false" customHeight="true" outlineLevel="0" collapsed="false">
      <c r="A51" s="1"/>
      <c r="B51" s="48" t="s">
        <v>294</v>
      </c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</row>
    <row r="52" customFormat="false" ht="15" hidden="false" customHeight="true" outlineLevel="0" collapsed="false">
      <c r="A52" s="1"/>
      <c r="B52" s="49" t="s">
        <v>207</v>
      </c>
      <c r="C52" s="30" t="s">
        <v>208</v>
      </c>
      <c r="D52" s="32" t="n">
        <v>11.37</v>
      </c>
      <c r="E52" s="51" t="n">
        <f aca="false">D52*2</f>
        <v>22.74</v>
      </c>
      <c r="F52" s="52" t="n">
        <v>12.25</v>
      </c>
      <c r="G52" s="53" t="n">
        <v>0.055</v>
      </c>
      <c r="H52" s="51" t="n">
        <f aca="false">F52*G52</f>
        <v>0.67375</v>
      </c>
      <c r="I52" s="32" t="n">
        <v>0.5</v>
      </c>
      <c r="J52" s="54" t="n">
        <f aca="false">E52+H52+I52</f>
        <v>23.91375</v>
      </c>
      <c r="K52" s="55" t="n">
        <f aca="false">CEILING(J52/(1-0.1),1)</f>
        <v>27</v>
      </c>
      <c r="L52" s="55" t="n">
        <f aca="false">CEILING(J52/(1-0.2),1)</f>
        <v>30</v>
      </c>
      <c r="M52" s="55" t="n">
        <f aca="false">CEILING(J52/(1-0.25),1)</f>
        <v>32</v>
      </c>
      <c r="N52" s="55" t="n">
        <f aca="false">CEILING(J52/(1-0.3),1)</f>
        <v>35</v>
      </c>
      <c r="O52" s="55" t="n">
        <f aca="false">CEILING(J52/(1-0.4),1)</f>
        <v>40</v>
      </c>
    </row>
    <row r="53" customFormat="false" ht="15" hidden="false" customHeight="true" outlineLevel="0" collapsed="false">
      <c r="A53" s="1"/>
      <c r="B53" s="49" t="s">
        <v>209</v>
      </c>
      <c r="C53" s="30" t="s">
        <v>210</v>
      </c>
      <c r="D53" s="32" t="n">
        <v>16.55</v>
      </c>
      <c r="E53" s="51" t="n">
        <f aca="false">D53*2</f>
        <v>33.1</v>
      </c>
      <c r="F53" s="52" t="n">
        <v>78.57</v>
      </c>
      <c r="G53" s="53" t="n">
        <v>0.055</v>
      </c>
      <c r="H53" s="51" t="n">
        <f aca="false">F53*G53</f>
        <v>4.32135</v>
      </c>
      <c r="I53" s="32" t="n">
        <v>0.5</v>
      </c>
      <c r="J53" s="54" t="n">
        <f aca="false">E53+H53+I53</f>
        <v>37.92135</v>
      </c>
      <c r="K53" s="55" t="n">
        <f aca="false">CEILING(J53/(1-0.1),1)</f>
        <v>43</v>
      </c>
      <c r="L53" s="55" t="n">
        <f aca="false">CEILING(J53/(1-0.2),1)</f>
        <v>48</v>
      </c>
      <c r="M53" s="55" t="n">
        <f aca="false">CEILING(J53/(1-0.25),1)</f>
        <v>51</v>
      </c>
      <c r="N53" s="55" t="n">
        <f aca="false">CEILING(J53/(1-0.3),1)</f>
        <v>55</v>
      </c>
      <c r="O53" s="55" t="n">
        <f aca="false">CEILING(J53/(1-0.4),1)</f>
        <v>64</v>
      </c>
    </row>
    <row r="54" customFormat="false" ht="15" hidden="false" customHeight="true" outlineLevel="0" collapsed="false">
      <c r="A54" s="1"/>
      <c r="B54" s="49" t="s">
        <v>211</v>
      </c>
      <c r="C54" s="30" t="s">
        <v>212</v>
      </c>
      <c r="D54" s="32" t="n">
        <v>25.86</v>
      </c>
      <c r="E54" s="51" t="n">
        <f aca="false">D54*2</f>
        <v>51.72</v>
      </c>
      <c r="F54" s="52" t="n">
        <v>78.57</v>
      </c>
      <c r="G54" s="53" t="n">
        <v>0.055</v>
      </c>
      <c r="H54" s="51" t="n">
        <f aca="false">F54*G54</f>
        <v>4.32135</v>
      </c>
      <c r="I54" s="32" t="n">
        <v>0.5</v>
      </c>
      <c r="J54" s="54" t="n">
        <f aca="false">E54+H54+I54</f>
        <v>56.54135</v>
      </c>
      <c r="K54" s="55" t="n">
        <f aca="false">CEILING(J54/(1-0.1),1)</f>
        <v>63</v>
      </c>
      <c r="L54" s="55" t="n">
        <f aca="false">CEILING(J54/(1-0.2),1)</f>
        <v>71</v>
      </c>
      <c r="M54" s="55" t="n">
        <f aca="false">CEILING(J54/(1-0.25),1)</f>
        <v>76</v>
      </c>
      <c r="N54" s="55" t="n">
        <f aca="false">CEILING(J54/(1-0.3),1)</f>
        <v>81</v>
      </c>
      <c r="O54" s="55" t="n">
        <f aca="false">CEILING(J54/(1-0.4),1)</f>
        <v>95</v>
      </c>
    </row>
    <row r="55" customFormat="false" ht="15" hidden="false" customHeight="true" outlineLevel="0" collapsed="false">
      <c r="A55" s="1"/>
      <c r="B55" s="49" t="s">
        <v>213</v>
      </c>
      <c r="C55" s="30" t="s">
        <v>214</v>
      </c>
      <c r="D55" s="32" t="n">
        <v>25.86</v>
      </c>
      <c r="E55" s="51" t="n">
        <f aca="false">D55*2</f>
        <v>51.72</v>
      </c>
      <c r="F55" s="52" t="n">
        <v>78.57</v>
      </c>
      <c r="G55" s="53" t="n">
        <v>0.055</v>
      </c>
      <c r="H55" s="51" t="n">
        <f aca="false">F55*G55</f>
        <v>4.32135</v>
      </c>
      <c r="I55" s="32" t="n">
        <v>0.5</v>
      </c>
      <c r="J55" s="54" t="n">
        <f aca="false">E55+H55+I55</f>
        <v>56.54135</v>
      </c>
      <c r="K55" s="55" t="n">
        <f aca="false">CEILING(J55/(1-0.1),1)</f>
        <v>63</v>
      </c>
      <c r="L55" s="55" t="n">
        <f aca="false">CEILING(J55/(1-0.2),1)</f>
        <v>71</v>
      </c>
      <c r="M55" s="55" t="n">
        <f aca="false">CEILING(J55/(1-0.25),1)</f>
        <v>76</v>
      </c>
      <c r="N55" s="55" t="n">
        <f aca="false">CEILING(J55/(1-0.3),1)</f>
        <v>81</v>
      </c>
      <c r="O55" s="55" t="n">
        <f aca="false">CEILING(J55/(1-0.4),1)</f>
        <v>95</v>
      </c>
    </row>
    <row r="56" customFormat="false" ht="15" hidden="false" customHeight="true" outlineLevel="0" collapsed="false">
      <c r="A56" s="1"/>
      <c r="B56" s="49" t="s">
        <v>166</v>
      </c>
      <c r="C56" s="30" t="s">
        <v>215</v>
      </c>
      <c r="D56" s="32" t="n">
        <v>4.15</v>
      </c>
      <c r="E56" s="51" t="n">
        <f aca="false">D56*2</f>
        <v>8.3</v>
      </c>
      <c r="F56" s="52" t="n">
        <v>12.25</v>
      </c>
      <c r="G56" s="53" t="n">
        <v>0.055</v>
      </c>
      <c r="H56" s="51" t="n">
        <f aca="false">F56*G56</f>
        <v>0.67375</v>
      </c>
      <c r="I56" s="32" t="n">
        <v>0.5</v>
      </c>
      <c r="J56" s="54" t="n">
        <f aca="false">E56+H56+I56</f>
        <v>9.47375</v>
      </c>
      <c r="K56" s="55" t="n">
        <f aca="false">CEILING(J56/(1-0.1),1)</f>
        <v>11</v>
      </c>
      <c r="L56" s="55" t="n">
        <f aca="false">CEILING(J56/(1-0.2),1)</f>
        <v>12</v>
      </c>
      <c r="M56" s="55" t="n">
        <f aca="false">CEILING(J56/(1-0.25),1)</f>
        <v>13</v>
      </c>
      <c r="N56" s="55" t="n">
        <f aca="false">CEILING(J56/(1-0.3),1)</f>
        <v>14</v>
      </c>
      <c r="O56" s="55" t="n">
        <f aca="false">CEILING(J56/(1-0.4),1)</f>
        <v>16</v>
      </c>
    </row>
    <row r="57" customFormat="false" ht="15" hidden="false" customHeight="true" outlineLevel="0" collapsed="false">
      <c r="A57" s="1"/>
      <c r="B57" s="49" t="s">
        <v>168</v>
      </c>
      <c r="C57" s="30" t="s">
        <v>216</v>
      </c>
      <c r="D57" s="32" t="n">
        <v>4.15</v>
      </c>
      <c r="E57" s="51" t="n">
        <f aca="false">D57*2</f>
        <v>8.3</v>
      </c>
      <c r="F57" s="52" t="n">
        <v>12.25</v>
      </c>
      <c r="G57" s="53" t="n">
        <v>0.055</v>
      </c>
      <c r="H57" s="51" t="n">
        <f aca="false">F57*G57</f>
        <v>0.67375</v>
      </c>
      <c r="I57" s="32" t="n">
        <v>0.5</v>
      </c>
      <c r="J57" s="54" t="n">
        <f aca="false">E57+H57+I57</f>
        <v>9.47375</v>
      </c>
      <c r="K57" s="55" t="n">
        <f aca="false">CEILING(J57/(1-0.1),1)</f>
        <v>11</v>
      </c>
      <c r="L57" s="55" t="n">
        <f aca="false">CEILING(J57/(1-0.2),1)</f>
        <v>12</v>
      </c>
      <c r="M57" s="55" t="n">
        <f aca="false">CEILING(J57/(1-0.25),1)</f>
        <v>13</v>
      </c>
      <c r="N57" s="55" t="n">
        <f aca="false">CEILING(J57/(1-0.3),1)</f>
        <v>14</v>
      </c>
      <c r="O57" s="55" t="n">
        <f aca="false">CEILING(J57/(1-0.4),1)</f>
        <v>16</v>
      </c>
    </row>
    <row r="58" customFormat="false" ht="15" hidden="false" customHeight="true" outlineLevel="0" collapsed="false">
      <c r="A58" s="1"/>
      <c r="B58" s="49" t="s">
        <v>170</v>
      </c>
      <c r="C58" s="30" t="s">
        <v>171</v>
      </c>
      <c r="D58" s="32" t="n">
        <v>4.15</v>
      </c>
      <c r="E58" s="51" t="n">
        <f aca="false">D58*2</f>
        <v>8.3</v>
      </c>
      <c r="F58" s="52" t="n">
        <v>12.25</v>
      </c>
      <c r="G58" s="53" t="n">
        <v>0.055</v>
      </c>
      <c r="H58" s="51" t="n">
        <f aca="false">F58*G58</f>
        <v>0.67375</v>
      </c>
      <c r="I58" s="32" t="n">
        <v>0.5</v>
      </c>
      <c r="J58" s="54" t="n">
        <f aca="false">E58+H58+I58</f>
        <v>9.47375</v>
      </c>
      <c r="K58" s="55" t="n">
        <f aca="false">CEILING(J58/(1-0.1),1)</f>
        <v>11</v>
      </c>
      <c r="L58" s="55" t="n">
        <f aca="false">CEILING(J58/(1-0.2),1)</f>
        <v>12</v>
      </c>
      <c r="M58" s="55" t="n">
        <f aca="false">CEILING(J58/(1-0.25),1)</f>
        <v>13</v>
      </c>
      <c r="N58" s="55" t="n">
        <f aca="false">CEILING(J58/(1-0.3),1)</f>
        <v>14</v>
      </c>
      <c r="O58" s="55" t="n">
        <f aca="false">CEILING(J58/(1-0.4),1)</f>
        <v>16</v>
      </c>
    </row>
    <row r="59" customFormat="false" ht="15" hidden="false" customHeight="true" outlineLevel="0" collapsed="false">
      <c r="A59" s="1"/>
      <c r="B59" s="48" t="s">
        <v>295</v>
      </c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</row>
    <row r="60" customFormat="false" ht="15" hidden="false" customHeight="true" outlineLevel="0" collapsed="false">
      <c r="A60" s="1"/>
      <c r="B60" s="49" t="s">
        <v>218</v>
      </c>
      <c r="C60" s="30" t="s">
        <v>219</v>
      </c>
      <c r="D60" s="32" t="n">
        <v>16.55</v>
      </c>
      <c r="E60" s="51" t="n">
        <f aca="false">D60*2</f>
        <v>33.1</v>
      </c>
      <c r="F60" s="52" t="n">
        <v>78.57</v>
      </c>
      <c r="G60" s="53" t="n">
        <v>0.055</v>
      </c>
      <c r="H60" s="51" t="n">
        <f aca="false">F60*G60</f>
        <v>4.32135</v>
      </c>
      <c r="I60" s="32" t="n">
        <v>0.5</v>
      </c>
      <c r="J60" s="54" t="n">
        <f aca="false">E60+H60+I60</f>
        <v>37.92135</v>
      </c>
      <c r="K60" s="55" t="n">
        <f aca="false">CEILING(J60/(1-0.1),1)</f>
        <v>43</v>
      </c>
      <c r="L60" s="55" t="n">
        <f aca="false">CEILING(J60/(1-0.2),1)</f>
        <v>48</v>
      </c>
      <c r="M60" s="55" t="n">
        <f aca="false">CEILING(J60/(1-0.25),1)</f>
        <v>51</v>
      </c>
      <c r="N60" s="55" t="n">
        <f aca="false">CEILING(J60/(1-0.3),1)</f>
        <v>55</v>
      </c>
      <c r="O60" s="55" t="n">
        <f aca="false">CEILING(J60/(1-0.4),1)</f>
        <v>64</v>
      </c>
    </row>
    <row r="61" customFormat="false" ht="15" hidden="false" customHeight="true" outlineLevel="0" collapsed="false">
      <c r="A61" s="1"/>
      <c r="B61" s="49" t="s">
        <v>220</v>
      </c>
      <c r="C61" s="30" t="s">
        <v>221</v>
      </c>
      <c r="D61" s="32" t="n">
        <v>13.44</v>
      </c>
      <c r="E61" s="51" t="n">
        <f aca="false">D61*2</f>
        <v>26.88</v>
      </c>
      <c r="F61" s="52" t="n">
        <v>78.57</v>
      </c>
      <c r="G61" s="53" t="n">
        <v>0.055</v>
      </c>
      <c r="H61" s="51" t="n">
        <f aca="false">F61*G61</f>
        <v>4.32135</v>
      </c>
      <c r="I61" s="32" t="n">
        <v>0.5</v>
      </c>
      <c r="J61" s="54" t="n">
        <f aca="false">E61+H61+I61</f>
        <v>31.70135</v>
      </c>
      <c r="K61" s="55" t="n">
        <f aca="false">CEILING(J61/(1-0.1),1)</f>
        <v>36</v>
      </c>
      <c r="L61" s="55" t="n">
        <f aca="false">CEILING(J61/(1-0.2),1)</f>
        <v>40</v>
      </c>
      <c r="M61" s="55" t="n">
        <f aca="false">CEILING(J61/(1-0.25),1)</f>
        <v>43</v>
      </c>
      <c r="N61" s="55" t="n">
        <f aca="false">CEILING(J61/(1-0.3),1)</f>
        <v>46</v>
      </c>
      <c r="O61" s="55" t="n">
        <f aca="false">CEILING(J61/(1-0.4),1)</f>
        <v>53</v>
      </c>
    </row>
    <row r="62" customFormat="false" ht="15" hidden="false" customHeight="true" outlineLevel="0" collapsed="false">
      <c r="A62" s="1"/>
      <c r="B62" s="49" t="s">
        <v>222</v>
      </c>
      <c r="C62" s="30" t="s">
        <v>223</v>
      </c>
      <c r="D62" s="32" t="n">
        <v>20.69</v>
      </c>
      <c r="E62" s="51" t="n">
        <f aca="false">D62*2</f>
        <v>41.38</v>
      </c>
      <c r="F62" s="52" t="n">
        <v>78.57</v>
      </c>
      <c r="G62" s="53" t="n">
        <v>0.055</v>
      </c>
      <c r="H62" s="51" t="n">
        <f aca="false">F62*G62</f>
        <v>4.32135</v>
      </c>
      <c r="I62" s="32" t="n">
        <v>0.5</v>
      </c>
      <c r="J62" s="54" t="n">
        <f aca="false">E62+H62+I62</f>
        <v>46.20135</v>
      </c>
      <c r="K62" s="55" t="n">
        <f aca="false">CEILING(J62/(1-0.1),1)</f>
        <v>52</v>
      </c>
      <c r="L62" s="55" t="n">
        <f aca="false">CEILING(J62/(1-0.2),1)</f>
        <v>58</v>
      </c>
      <c r="M62" s="55" t="n">
        <f aca="false">CEILING(J62/(1-0.25),1)</f>
        <v>62</v>
      </c>
      <c r="N62" s="55" t="n">
        <f aca="false">CEILING(J62/(1-0.3),1)</f>
        <v>67</v>
      </c>
      <c r="O62" s="55" t="n">
        <f aca="false">CEILING(J62/(1-0.4),1)</f>
        <v>78</v>
      </c>
    </row>
    <row r="63" customFormat="false" ht="15" hidden="false" customHeight="true" outlineLevel="0" collapsed="false">
      <c r="A63" s="1"/>
      <c r="B63" s="49" t="s">
        <v>224</v>
      </c>
      <c r="C63" s="30" t="s">
        <v>225</v>
      </c>
      <c r="D63" s="32" t="n">
        <v>18.62</v>
      </c>
      <c r="E63" s="51" t="n">
        <f aca="false">D63*2</f>
        <v>37.24</v>
      </c>
      <c r="F63" s="52" t="n">
        <v>78.57</v>
      </c>
      <c r="G63" s="53" t="n">
        <v>0.055</v>
      </c>
      <c r="H63" s="51" t="n">
        <f aca="false">F63*G63</f>
        <v>4.32135</v>
      </c>
      <c r="I63" s="32" t="n">
        <v>0.5</v>
      </c>
      <c r="J63" s="54" t="n">
        <f aca="false">E63+H63+I63</f>
        <v>42.06135</v>
      </c>
      <c r="K63" s="55" t="n">
        <f aca="false">CEILING(J63/(1-0.1),1)</f>
        <v>47</v>
      </c>
      <c r="L63" s="55" t="n">
        <f aca="false">CEILING(J63/(1-0.2),1)</f>
        <v>53</v>
      </c>
      <c r="M63" s="55" t="n">
        <f aca="false">CEILING(J63/(1-0.25),1)</f>
        <v>57</v>
      </c>
      <c r="N63" s="55" t="n">
        <f aca="false">CEILING(J63/(1-0.3),1)</f>
        <v>61</v>
      </c>
      <c r="O63" s="55" t="n">
        <f aca="false">CEILING(J63/(1-0.4),1)</f>
        <v>71</v>
      </c>
    </row>
    <row r="64" customFormat="false" ht="15" hidden="false" customHeight="true" outlineLevel="0" collapsed="false">
      <c r="A64" s="1"/>
      <c r="B64" s="49" t="s">
        <v>226</v>
      </c>
      <c r="C64" s="30" t="s">
        <v>227</v>
      </c>
      <c r="D64" s="32" t="n">
        <v>18.62</v>
      </c>
      <c r="E64" s="51" t="n">
        <f aca="false">D64*2</f>
        <v>37.24</v>
      </c>
      <c r="F64" s="52" t="n">
        <v>78.57</v>
      </c>
      <c r="G64" s="53" t="n">
        <v>0.055</v>
      </c>
      <c r="H64" s="51" t="n">
        <f aca="false">F64*G64</f>
        <v>4.32135</v>
      </c>
      <c r="I64" s="32" t="n">
        <v>0.5</v>
      </c>
      <c r="J64" s="54" t="n">
        <f aca="false">E64+H64+I64</f>
        <v>42.06135</v>
      </c>
      <c r="K64" s="55" t="n">
        <f aca="false">CEILING(J64/(1-0.1),1)</f>
        <v>47</v>
      </c>
      <c r="L64" s="55" t="n">
        <f aca="false">CEILING(J64/(1-0.2),1)</f>
        <v>53</v>
      </c>
      <c r="M64" s="55" t="n">
        <f aca="false">CEILING(J64/(1-0.25),1)</f>
        <v>57</v>
      </c>
      <c r="N64" s="55" t="n">
        <f aca="false">CEILING(J64/(1-0.3),1)</f>
        <v>61</v>
      </c>
      <c r="O64" s="55" t="n">
        <f aca="false">CEILING(J64/(1-0.4),1)</f>
        <v>71</v>
      </c>
    </row>
    <row r="65" customFormat="false" ht="15" hidden="false" customHeight="true" outlineLevel="0" collapsed="false">
      <c r="A65" s="1"/>
      <c r="B65" s="49" t="s">
        <v>228</v>
      </c>
      <c r="C65" s="30" t="s">
        <v>229</v>
      </c>
      <c r="D65" s="32" t="n">
        <v>24.83</v>
      </c>
      <c r="E65" s="51" t="n">
        <f aca="false">D65*2</f>
        <v>49.66</v>
      </c>
      <c r="F65" s="52" t="n">
        <v>78.57</v>
      </c>
      <c r="G65" s="53" t="n">
        <v>0.055</v>
      </c>
      <c r="H65" s="51" t="n">
        <f aca="false">F65*G65</f>
        <v>4.32135</v>
      </c>
      <c r="I65" s="32" t="n">
        <v>0.5</v>
      </c>
      <c r="J65" s="54" t="n">
        <f aca="false">E65+H65+I65</f>
        <v>54.48135</v>
      </c>
      <c r="K65" s="55" t="n">
        <f aca="false">CEILING(J65/(1-0.1),1)</f>
        <v>61</v>
      </c>
      <c r="L65" s="55" t="n">
        <f aca="false">CEILING(J65/(1-0.2),1)</f>
        <v>69</v>
      </c>
      <c r="M65" s="55" t="n">
        <f aca="false">CEILING(J65/(1-0.25),1)</f>
        <v>73</v>
      </c>
      <c r="N65" s="55" t="n">
        <f aca="false">CEILING(J65/(1-0.3),1)</f>
        <v>78</v>
      </c>
      <c r="O65" s="55" t="n">
        <f aca="false">CEILING(J65/(1-0.4),1)</f>
        <v>91</v>
      </c>
    </row>
    <row r="66" customFormat="false" ht="15" hidden="false" customHeight="true" outlineLevel="0" collapsed="false">
      <c r="A66" s="1"/>
      <c r="B66" s="49" t="s">
        <v>230</v>
      </c>
      <c r="C66" s="30" t="s">
        <v>231</v>
      </c>
      <c r="D66" s="32" t="n">
        <v>21.72</v>
      </c>
      <c r="E66" s="51" t="n">
        <f aca="false">D66*2</f>
        <v>43.44</v>
      </c>
      <c r="F66" s="52" t="n">
        <v>78.57</v>
      </c>
      <c r="G66" s="53" t="n">
        <v>0.055</v>
      </c>
      <c r="H66" s="51" t="n">
        <f aca="false">F66*G66</f>
        <v>4.32135</v>
      </c>
      <c r="I66" s="32" t="n">
        <v>0.5</v>
      </c>
      <c r="J66" s="54" t="n">
        <f aca="false">E66+H66+I66</f>
        <v>48.26135</v>
      </c>
      <c r="K66" s="55" t="n">
        <f aca="false">CEILING(J66/(1-0.1),1)</f>
        <v>54</v>
      </c>
      <c r="L66" s="55" t="n">
        <f aca="false">CEILING(J66/(1-0.2),1)</f>
        <v>61</v>
      </c>
      <c r="M66" s="55" t="n">
        <f aca="false">CEILING(J66/(1-0.25),1)</f>
        <v>65</v>
      </c>
      <c r="N66" s="55" t="n">
        <f aca="false">CEILING(J66/(1-0.3),1)</f>
        <v>69</v>
      </c>
      <c r="O66" s="55" t="n">
        <f aca="false">CEILING(J66/(1-0.4),1)</f>
        <v>81</v>
      </c>
    </row>
    <row r="67" customFormat="false" ht="15" hidden="false" customHeight="true" outlineLevel="0" collapsed="false">
      <c r="A67" s="1"/>
      <c r="B67" s="49" t="s">
        <v>232</v>
      </c>
      <c r="C67" s="30" t="s">
        <v>233</v>
      </c>
      <c r="D67" s="32" t="n">
        <v>31.66</v>
      </c>
      <c r="E67" s="51" t="n">
        <f aca="false">D67*2</f>
        <v>63.32</v>
      </c>
      <c r="F67" s="52" t="n">
        <v>78.57</v>
      </c>
      <c r="G67" s="53" t="n">
        <v>0.055</v>
      </c>
      <c r="H67" s="51" t="n">
        <f aca="false">F67*G67</f>
        <v>4.32135</v>
      </c>
      <c r="I67" s="32" t="n">
        <v>0.5</v>
      </c>
      <c r="J67" s="54" t="n">
        <f aca="false">E67+H67+I67</f>
        <v>68.14135</v>
      </c>
      <c r="K67" s="55" t="n">
        <f aca="false">CEILING(J67/(1-0.1),1)</f>
        <v>76</v>
      </c>
      <c r="L67" s="55" t="n">
        <f aca="false">CEILING(J67/(1-0.2),1)</f>
        <v>86</v>
      </c>
      <c r="M67" s="55" t="n">
        <f aca="false">CEILING(J67/(1-0.25),1)</f>
        <v>91</v>
      </c>
      <c r="N67" s="55" t="n">
        <f aca="false">CEILING(J67/(1-0.3),1)</f>
        <v>98</v>
      </c>
      <c r="O67" s="55" t="n">
        <f aca="false">CEILING(J67/(1-0.4),1)</f>
        <v>114</v>
      </c>
    </row>
    <row r="68" customFormat="false" ht="15" hidden="false" customHeight="true" outlineLevel="0" collapsed="false">
      <c r="A68" s="1"/>
      <c r="B68" s="49" t="s">
        <v>234</v>
      </c>
      <c r="C68" s="30" t="s">
        <v>235</v>
      </c>
      <c r="D68" s="32" t="n">
        <v>30</v>
      </c>
      <c r="E68" s="51" t="n">
        <f aca="false">D68*2</f>
        <v>60</v>
      </c>
      <c r="F68" s="52" t="n">
        <v>78.57</v>
      </c>
      <c r="G68" s="53" t="n">
        <v>0.055</v>
      </c>
      <c r="H68" s="51" t="n">
        <f aca="false">F68*G68</f>
        <v>4.32135</v>
      </c>
      <c r="I68" s="32" t="n">
        <v>0.5</v>
      </c>
      <c r="J68" s="54" t="n">
        <f aca="false">E68+H68+I68</f>
        <v>64.82135</v>
      </c>
      <c r="K68" s="55" t="n">
        <f aca="false">CEILING(J68/(1-0.1),1)</f>
        <v>73</v>
      </c>
      <c r="L68" s="55" t="n">
        <f aca="false">CEILING(J68/(1-0.2),1)</f>
        <v>82</v>
      </c>
      <c r="M68" s="55" t="n">
        <f aca="false">CEILING(J68/(1-0.25),1)</f>
        <v>87</v>
      </c>
      <c r="N68" s="55" t="n">
        <f aca="false">CEILING(J68/(1-0.3),1)</f>
        <v>93</v>
      </c>
      <c r="O68" s="55" t="n">
        <f aca="false">CEILING(J68/(1-0.4),1)</f>
        <v>109</v>
      </c>
    </row>
    <row r="69" customFormat="false" ht="15" hidden="false" customHeight="true" outlineLevel="0" collapsed="false">
      <c r="A69" s="1"/>
      <c r="B69" s="49" t="s">
        <v>236</v>
      </c>
      <c r="C69" s="30" t="s">
        <v>237</v>
      </c>
      <c r="D69" s="32" t="n">
        <v>17.55</v>
      </c>
      <c r="E69" s="51" t="n">
        <f aca="false">D69*2</f>
        <v>35.1</v>
      </c>
      <c r="F69" s="52" t="n">
        <v>78.57</v>
      </c>
      <c r="G69" s="53" t="n">
        <v>0.055</v>
      </c>
      <c r="H69" s="51" t="n">
        <f aca="false">F69*G69</f>
        <v>4.32135</v>
      </c>
      <c r="I69" s="32" t="n">
        <v>0.5</v>
      </c>
      <c r="J69" s="54" t="n">
        <f aca="false">E69+H69+I69</f>
        <v>39.92135</v>
      </c>
      <c r="K69" s="55" t="n">
        <f aca="false">CEILING(J69/(1-0.1),1)</f>
        <v>45</v>
      </c>
      <c r="L69" s="55" t="n">
        <f aca="false">CEILING(J69/(1-0.2),1)</f>
        <v>50</v>
      </c>
      <c r="M69" s="55" t="n">
        <f aca="false">CEILING(J69/(1-0.25),1)</f>
        <v>54</v>
      </c>
      <c r="N69" s="55" t="n">
        <f aca="false">CEILING(J69/(1-0.3),1)</f>
        <v>58</v>
      </c>
      <c r="O69" s="55" t="n">
        <f aca="false">CEILING(J69/(1-0.4),1)</f>
        <v>67</v>
      </c>
    </row>
    <row r="70" customFormat="false" ht="15" hidden="false" customHeight="true" outlineLevel="0" collapsed="false">
      <c r="A70" s="1"/>
      <c r="B70" s="48" t="s">
        <v>296</v>
      </c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</row>
    <row r="71" customFormat="false" ht="15" hidden="false" customHeight="true" outlineLevel="0" collapsed="false">
      <c r="A71" s="1"/>
      <c r="B71" s="49" t="s">
        <v>239</v>
      </c>
      <c r="C71" s="30" t="s">
        <v>240</v>
      </c>
      <c r="D71" s="32" t="n">
        <v>18.62</v>
      </c>
      <c r="E71" s="51" t="n">
        <f aca="false">D71*2</f>
        <v>37.24</v>
      </c>
      <c r="F71" s="52" t="n">
        <v>78.57</v>
      </c>
      <c r="G71" s="53" t="n">
        <v>0.055</v>
      </c>
      <c r="H71" s="51" t="n">
        <f aca="false">F71*G71</f>
        <v>4.32135</v>
      </c>
      <c r="I71" s="32" t="n">
        <v>0.5</v>
      </c>
      <c r="J71" s="54" t="n">
        <f aca="false">E71+H71+I71</f>
        <v>42.06135</v>
      </c>
      <c r="K71" s="55" t="n">
        <f aca="false">CEILING(J71/(1-0.1),1)</f>
        <v>47</v>
      </c>
      <c r="L71" s="55" t="n">
        <f aca="false">CEILING(J71/(1-0.2),1)</f>
        <v>53</v>
      </c>
      <c r="M71" s="55" t="n">
        <f aca="false">CEILING(J71/(1-0.25),1)</f>
        <v>57</v>
      </c>
      <c r="N71" s="55" t="n">
        <f aca="false">CEILING(J71/(1-0.3),1)</f>
        <v>61</v>
      </c>
      <c r="O71" s="55" t="n">
        <f aca="false">CEILING(J71/(1-0.4),1)</f>
        <v>71</v>
      </c>
    </row>
    <row r="72" customFormat="false" ht="15" hidden="false" customHeight="true" outlineLevel="0" collapsed="false">
      <c r="A72" s="1"/>
      <c r="B72" s="49" t="s">
        <v>241</v>
      </c>
      <c r="C72" s="30" t="s">
        <v>242</v>
      </c>
      <c r="D72" s="32" t="n">
        <v>19.65</v>
      </c>
      <c r="E72" s="51" t="n">
        <f aca="false">D72*2</f>
        <v>39.3</v>
      </c>
      <c r="F72" s="52" t="n">
        <v>78.57</v>
      </c>
      <c r="G72" s="53" t="n">
        <v>0.055</v>
      </c>
      <c r="H72" s="51" t="n">
        <f aca="false">F72*G72</f>
        <v>4.32135</v>
      </c>
      <c r="I72" s="32" t="n">
        <v>0.5</v>
      </c>
      <c r="J72" s="54" t="n">
        <f aca="false">E72+H72+I72</f>
        <v>44.12135</v>
      </c>
      <c r="K72" s="55" t="n">
        <f aca="false">CEILING(J72/(1-0.1),1)</f>
        <v>50</v>
      </c>
      <c r="L72" s="55" t="n">
        <f aca="false">CEILING(J72/(1-0.2),1)</f>
        <v>56</v>
      </c>
      <c r="M72" s="55" t="n">
        <f aca="false">CEILING(J72/(1-0.25),1)</f>
        <v>59</v>
      </c>
      <c r="N72" s="55" t="n">
        <f aca="false">CEILING(J72/(1-0.3),1)</f>
        <v>64</v>
      </c>
      <c r="O72" s="55" t="n">
        <f aca="false">CEILING(J72/(1-0.4),1)</f>
        <v>74</v>
      </c>
    </row>
    <row r="73" customFormat="false" ht="15" hidden="false" customHeight="true" outlineLevel="0" collapsed="false">
      <c r="A73" s="1"/>
      <c r="B73" s="49" t="s">
        <v>243</v>
      </c>
      <c r="C73" s="30" t="s">
        <v>244</v>
      </c>
      <c r="D73" s="32" t="n">
        <v>20.69</v>
      </c>
      <c r="E73" s="51" t="n">
        <f aca="false">D73*2</f>
        <v>41.38</v>
      </c>
      <c r="F73" s="52" t="n">
        <v>78.57</v>
      </c>
      <c r="G73" s="53" t="n">
        <v>0.055</v>
      </c>
      <c r="H73" s="51" t="n">
        <f aca="false">F73*G73</f>
        <v>4.32135</v>
      </c>
      <c r="I73" s="32" t="n">
        <v>0.5</v>
      </c>
      <c r="J73" s="54" t="n">
        <f aca="false">E73+H73+I73</f>
        <v>46.20135</v>
      </c>
      <c r="K73" s="55" t="n">
        <f aca="false">CEILING(J73/(1-0.1),1)</f>
        <v>52</v>
      </c>
      <c r="L73" s="55" t="n">
        <f aca="false">CEILING(J73/(1-0.2),1)</f>
        <v>58</v>
      </c>
      <c r="M73" s="55" t="n">
        <f aca="false">CEILING(J73/(1-0.25),1)</f>
        <v>62</v>
      </c>
      <c r="N73" s="55" t="n">
        <f aca="false">CEILING(J73/(1-0.3),1)</f>
        <v>67</v>
      </c>
      <c r="O73" s="55" t="n">
        <f aca="false">CEILING(J73/(1-0.4),1)</f>
        <v>78</v>
      </c>
    </row>
    <row r="74" customFormat="false" ht="15" hidden="false" customHeight="true" outlineLevel="0" collapsed="false">
      <c r="A74" s="1"/>
      <c r="B74" s="49" t="s">
        <v>245</v>
      </c>
      <c r="C74" s="30" t="s">
        <v>246</v>
      </c>
      <c r="D74" s="32" t="n">
        <v>16.03</v>
      </c>
      <c r="E74" s="51" t="n">
        <f aca="false">D74*2</f>
        <v>32.06</v>
      </c>
      <c r="F74" s="52" t="n">
        <v>78.57</v>
      </c>
      <c r="G74" s="53" t="n">
        <v>0.055</v>
      </c>
      <c r="H74" s="51" t="n">
        <f aca="false">F74*G74</f>
        <v>4.32135</v>
      </c>
      <c r="I74" s="32" t="n">
        <v>0.5</v>
      </c>
      <c r="J74" s="54" t="n">
        <f aca="false">E74+H74+I74</f>
        <v>36.88135</v>
      </c>
      <c r="K74" s="55" t="n">
        <f aca="false">CEILING(J74/(1-0.1),1)</f>
        <v>41</v>
      </c>
      <c r="L74" s="55" t="n">
        <f aca="false">CEILING(J74/(1-0.2),1)</f>
        <v>47</v>
      </c>
      <c r="M74" s="55" t="n">
        <f aca="false">CEILING(J74/(1-0.25),1)</f>
        <v>50</v>
      </c>
      <c r="N74" s="55" t="n">
        <f aca="false">CEILING(J74/(1-0.3),1)</f>
        <v>53</v>
      </c>
      <c r="O74" s="55" t="n">
        <f aca="false">CEILING(J74/(1-0.4),1)</f>
        <v>62</v>
      </c>
    </row>
    <row r="75" customFormat="false" ht="15" hidden="false" customHeight="true" outlineLevel="0" collapsed="false">
      <c r="A75" s="1"/>
      <c r="B75" s="49" t="s">
        <v>247</v>
      </c>
      <c r="C75" s="30" t="s">
        <v>248</v>
      </c>
      <c r="D75" s="32" t="n">
        <v>14.48</v>
      </c>
      <c r="E75" s="51" t="n">
        <f aca="false">D75*2</f>
        <v>28.96</v>
      </c>
      <c r="F75" s="52" t="n">
        <v>78.57</v>
      </c>
      <c r="G75" s="53" t="n">
        <v>0.055</v>
      </c>
      <c r="H75" s="51" t="n">
        <f aca="false">F75*G75</f>
        <v>4.32135</v>
      </c>
      <c r="I75" s="32" t="n">
        <v>0.5</v>
      </c>
      <c r="J75" s="54" t="n">
        <f aca="false">E75+H75+I75</f>
        <v>33.78135</v>
      </c>
      <c r="K75" s="55" t="n">
        <f aca="false">CEILING(J75/(1-0.1),1)</f>
        <v>38</v>
      </c>
      <c r="L75" s="55" t="n">
        <f aca="false">CEILING(J75/(1-0.2),1)</f>
        <v>43</v>
      </c>
      <c r="M75" s="55" t="n">
        <f aca="false">CEILING(J75/(1-0.25),1)</f>
        <v>46</v>
      </c>
      <c r="N75" s="55" t="n">
        <f aca="false">CEILING(J75/(1-0.3),1)</f>
        <v>49</v>
      </c>
      <c r="O75" s="55" t="n">
        <f aca="false">CEILING(J75/(1-0.4),1)</f>
        <v>57</v>
      </c>
    </row>
    <row r="76" customFormat="false" ht="15" hidden="false" customHeight="true" outlineLevel="0" collapsed="false">
      <c r="A76" s="1"/>
      <c r="B76" s="49" t="s">
        <v>249</v>
      </c>
      <c r="C76" s="30" t="s">
        <v>250</v>
      </c>
      <c r="D76" s="32" t="n">
        <v>13.44</v>
      </c>
      <c r="E76" s="51" t="n">
        <f aca="false">D76*2</f>
        <v>26.88</v>
      </c>
      <c r="F76" s="52" t="n">
        <v>78.57</v>
      </c>
      <c r="G76" s="53" t="n">
        <v>0.055</v>
      </c>
      <c r="H76" s="51" t="n">
        <f aca="false">F76*G76</f>
        <v>4.32135</v>
      </c>
      <c r="I76" s="32" t="n">
        <v>0.5</v>
      </c>
      <c r="J76" s="54" t="n">
        <f aca="false">E76+H76+I76</f>
        <v>31.70135</v>
      </c>
      <c r="K76" s="55" t="n">
        <f aca="false">CEILING(J76/(1-0.1),1)</f>
        <v>36</v>
      </c>
      <c r="L76" s="55" t="n">
        <f aca="false">CEILING(J76/(1-0.2),1)</f>
        <v>40</v>
      </c>
      <c r="M76" s="55" t="n">
        <f aca="false">CEILING(J76/(1-0.25),1)</f>
        <v>43</v>
      </c>
      <c r="N76" s="55" t="n">
        <f aca="false">CEILING(J76/(1-0.3),1)</f>
        <v>46</v>
      </c>
      <c r="O76" s="55" t="n">
        <f aca="false">CEILING(J76/(1-0.4),1)</f>
        <v>53</v>
      </c>
    </row>
    <row r="77" customFormat="false" ht="15" hidden="false" customHeight="true" outlineLevel="0" collapsed="false">
      <c r="A77" s="1"/>
      <c r="B77" s="49" t="s">
        <v>152</v>
      </c>
      <c r="C77" s="30" t="s">
        <v>251</v>
      </c>
      <c r="D77" s="32" t="n">
        <v>10.63</v>
      </c>
      <c r="E77" s="51" t="n">
        <f aca="false">D77*2</f>
        <v>21.26</v>
      </c>
      <c r="F77" s="52" t="n">
        <v>78.57</v>
      </c>
      <c r="G77" s="53" t="n">
        <v>0.055</v>
      </c>
      <c r="H77" s="51" t="n">
        <f aca="false">F77*G77</f>
        <v>4.32135</v>
      </c>
      <c r="I77" s="32" t="n">
        <v>0.5</v>
      </c>
      <c r="J77" s="54" t="n">
        <f aca="false">E77+H77+I77</f>
        <v>26.08135</v>
      </c>
      <c r="K77" s="55" t="n">
        <f aca="false">CEILING(J77/(1-0.1),1)</f>
        <v>29</v>
      </c>
      <c r="L77" s="55" t="n">
        <f aca="false">CEILING(J77/(1-0.2),1)</f>
        <v>33</v>
      </c>
      <c r="M77" s="55" t="n">
        <f aca="false">CEILING(J77/(1-0.25),1)</f>
        <v>35</v>
      </c>
      <c r="N77" s="55" t="n">
        <f aca="false">CEILING(J77/(1-0.3),1)</f>
        <v>38</v>
      </c>
      <c r="O77" s="55" t="n">
        <f aca="false">CEILING(J77/(1-0.4),1)</f>
        <v>44</v>
      </c>
    </row>
    <row r="78" customFormat="false" ht="15" hidden="false" customHeight="true" outlineLevel="0" collapsed="false">
      <c r="A78" s="1"/>
      <c r="B78" s="49" t="s">
        <v>154</v>
      </c>
      <c r="C78" s="30" t="s">
        <v>252</v>
      </c>
      <c r="D78" s="32" t="n">
        <v>7.89</v>
      </c>
      <c r="E78" s="51" t="n">
        <f aca="false">D78*2</f>
        <v>15.78</v>
      </c>
      <c r="F78" s="52" t="n">
        <v>78.57</v>
      </c>
      <c r="G78" s="53" t="n">
        <v>0.055</v>
      </c>
      <c r="H78" s="51" t="n">
        <f aca="false">F78*G78</f>
        <v>4.32135</v>
      </c>
      <c r="I78" s="32" t="n">
        <v>0.5</v>
      </c>
      <c r="J78" s="54" t="n">
        <f aca="false">E78+H78+I78</f>
        <v>20.60135</v>
      </c>
      <c r="K78" s="55" t="n">
        <f aca="false">CEILING(J78/(1-0.1),1)</f>
        <v>23</v>
      </c>
      <c r="L78" s="55" t="n">
        <f aca="false">CEILING(J78/(1-0.2),1)</f>
        <v>26</v>
      </c>
      <c r="M78" s="55" t="n">
        <f aca="false">CEILING(J78/(1-0.25),1)</f>
        <v>28</v>
      </c>
      <c r="N78" s="55" t="n">
        <f aca="false">CEILING(J78/(1-0.3),1)</f>
        <v>30</v>
      </c>
      <c r="O78" s="55" t="n">
        <f aca="false">CEILING(J78/(1-0.4),1)</f>
        <v>35</v>
      </c>
    </row>
    <row r="79" customFormat="false" ht="15" hidden="false" customHeight="true" outlineLevel="0" collapsed="false">
      <c r="A79" s="1"/>
      <c r="B79" s="49" t="s">
        <v>156</v>
      </c>
      <c r="C79" s="30" t="s">
        <v>253</v>
      </c>
      <c r="D79" s="32" t="n">
        <v>15.59</v>
      </c>
      <c r="E79" s="51" t="n">
        <f aca="false">D79*2</f>
        <v>31.18</v>
      </c>
      <c r="F79" s="52" t="n">
        <v>78.57</v>
      </c>
      <c r="G79" s="53" t="n">
        <v>0.055</v>
      </c>
      <c r="H79" s="51" t="n">
        <f aca="false">F79*G79</f>
        <v>4.32135</v>
      </c>
      <c r="I79" s="32" t="n">
        <v>0.5</v>
      </c>
      <c r="J79" s="54" t="n">
        <f aca="false">E79+H79+I79</f>
        <v>36.00135</v>
      </c>
      <c r="K79" s="55" t="n">
        <f aca="false">CEILING(J79/(1-0.1),1)</f>
        <v>41</v>
      </c>
      <c r="L79" s="55" t="n">
        <f aca="false">CEILING(J79/(1-0.2),1)</f>
        <v>46</v>
      </c>
      <c r="M79" s="55" t="n">
        <f aca="false">CEILING(J79/(1-0.25),1)</f>
        <v>49</v>
      </c>
      <c r="N79" s="55" t="n">
        <f aca="false">CEILING(J79/(1-0.3),1)</f>
        <v>52</v>
      </c>
      <c r="O79" s="55" t="n">
        <f aca="false">CEILING(J79/(1-0.4),1)</f>
        <v>61</v>
      </c>
    </row>
    <row r="80" customFormat="false" ht="15" hidden="false" customHeight="true" outlineLevel="0" collapsed="false">
      <c r="A80" s="1"/>
      <c r="B80" s="49" t="s">
        <v>158</v>
      </c>
      <c r="C80" s="30" t="s">
        <v>254</v>
      </c>
      <c r="D80" s="32" t="n">
        <v>12.65</v>
      </c>
      <c r="E80" s="51" t="n">
        <f aca="false">D80*2</f>
        <v>25.3</v>
      </c>
      <c r="F80" s="52" t="n">
        <v>78.57</v>
      </c>
      <c r="G80" s="53" t="n">
        <v>0.055</v>
      </c>
      <c r="H80" s="51" t="n">
        <f aca="false">F80*G80</f>
        <v>4.32135</v>
      </c>
      <c r="I80" s="32" t="n">
        <v>0.5</v>
      </c>
      <c r="J80" s="54" t="n">
        <f aca="false">E80+H80+I80</f>
        <v>30.12135</v>
      </c>
      <c r="K80" s="55" t="n">
        <f aca="false">CEILING(J80/(1-0.1),1)</f>
        <v>34</v>
      </c>
      <c r="L80" s="55" t="n">
        <f aca="false">CEILING(J80/(1-0.2),1)</f>
        <v>38</v>
      </c>
      <c r="M80" s="55" t="n">
        <f aca="false">CEILING(J80/(1-0.25),1)</f>
        <v>41</v>
      </c>
      <c r="N80" s="55" t="n">
        <f aca="false">CEILING(J80/(1-0.3),1)</f>
        <v>44</v>
      </c>
      <c r="O80" s="55" t="n">
        <f aca="false">CEILING(J80/(1-0.4),1)</f>
        <v>51</v>
      </c>
    </row>
    <row r="81" customFormat="false" ht="15" hidden="false" customHeight="true" outlineLevel="0" collapsed="false">
      <c r="A81" s="1"/>
      <c r="B81" s="49" t="s">
        <v>160</v>
      </c>
      <c r="C81" s="30" t="s">
        <v>255</v>
      </c>
      <c r="D81" s="32" t="n">
        <v>11.1</v>
      </c>
      <c r="E81" s="51" t="n">
        <f aca="false">D81*2</f>
        <v>22.2</v>
      </c>
      <c r="F81" s="52" t="n">
        <v>78.57</v>
      </c>
      <c r="G81" s="53" t="n">
        <v>0.055</v>
      </c>
      <c r="H81" s="51" t="n">
        <f aca="false">F81*G81</f>
        <v>4.32135</v>
      </c>
      <c r="I81" s="32" t="n">
        <v>0.5</v>
      </c>
      <c r="J81" s="54" t="n">
        <f aca="false">E81+H81+I81</f>
        <v>27.02135</v>
      </c>
      <c r="K81" s="55" t="n">
        <f aca="false">CEILING(J81/(1-0.1),1)</f>
        <v>31</v>
      </c>
      <c r="L81" s="55" t="n">
        <f aca="false">CEILING(J81/(1-0.2),1)</f>
        <v>34</v>
      </c>
      <c r="M81" s="55" t="n">
        <f aca="false">CEILING(J81/(1-0.25),1)</f>
        <v>37</v>
      </c>
      <c r="N81" s="55" t="n">
        <f aca="false">CEILING(J81/(1-0.3),1)</f>
        <v>39</v>
      </c>
      <c r="O81" s="55" t="n">
        <f aca="false">CEILING(J81/(1-0.4),1)</f>
        <v>46</v>
      </c>
    </row>
    <row r="82" customFormat="false" ht="15" hidden="false" customHeight="true" outlineLevel="0" collapsed="false">
      <c r="A82" s="1"/>
      <c r="B82" s="49" t="s">
        <v>162</v>
      </c>
      <c r="C82" s="30" t="s">
        <v>256</v>
      </c>
      <c r="D82" s="32" t="n">
        <v>10.34</v>
      </c>
      <c r="E82" s="51" t="n">
        <f aca="false">D82*2</f>
        <v>20.68</v>
      </c>
      <c r="F82" s="52" t="n">
        <v>78.57</v>
      </c>
      <c r="G82" s="53" t="n">
        <v>0.055</v>
      </c>
      <c r="H82" s="51" t="n">
        <f aca="false">F82*G82</f>
        <v>4.32135</v>
      </c>
      <c r="I82" s="32" t="n">
        <v>0.5</v>
      </c>
      <c r="J82" s="54" t="n">
        <f aca="false">E82+H82+I82</f>
        <v>25.50135</v>
      </c>
      <c r="K82" s="55" t="n">
        <f aca="false">CEILING(J82/(1-0.1),1)</f>
        <v>29</v>
      </c>
      <c r="L82" s="55" t="n">
        <f aca="false">CEILING(J82/(1-0.2),1)</f>
        <v>32</v>
      </c>
      <c r="M82" s="55" t="n">
        <f aca="false">CEILING(J82/(1-0.25),1)</f>
        <v>35</v>
      </c>
      <c r="N82" s="55" t="n">
        <f aca="false">CEILING(J82/(1-0.3),1)</f>
        <v>37</v>
      </c>
      <c r="O82" s="55" t="n">
        <f aca="false">CEILING(J82/(1-0.4),1)</f>
        <v>43</v>
      </c>
    </row>
    <row r="83" customFormat="false" ht="15" hidden="false" customHeight="true" outlineLevel="0" collapsed="false">
      <c r="A83" s="1"/>
      <c r="B83" s="49" t="s">
        <v>164</v>
      </c>
      <c r="C83" s="30" t="s">
        <v>257</v>
      </c>
      <c r="D83" s="32" t="n">
        <v>6.15</v>
      </c>
      <c r="E83" s="51" t="n">
        <f aca="false">D83*2</f>
        <v>12.3</v>
      </c>
      <c r="F83" s="52" t="n">
        <v>78.57</v>
      </c>
      <c r="G83" s="53" t="n">
        <v>0.055</v>
      </c>
      <c r="H83" s="51" t="n">
        <f aca="false">F83*G83</f>
        <v>4.32135</v>
      </c>
      <c r="I83" s="32" t="n">
        <v>0.5</v>
      </c>
      <c r="J83" s="54" t="n">
        <f aca="false">E83+H83+I83</f>
        <v>17.12135</v>
      </c>
      <c r="K83" s="55" t="n">
        <f aca="false">CEILING(J83/(1-0.1),1)</f>
        <v>20</v>
      </c>
      <c r="L83" s="55" t="n">
        <f aca="false">CEILING(J83/(1-0.2),1)</f>
        <v>22</v>
      </c>
      <c r="M83" s="55" t="n">
        <f aca="false">CEILING(J83/(1-0.25),1)</f>
        <v>23</v>
      </c>
      <c r="N83" s="55" t="n">
        <f aca="false">CEILING(J83/(1-0.3),1)</f>
        <v>25</v>
      </c>
      <c r="O83" s="55" t="n">
        <f aca="false">CEILING(J83/(1-0.4),1)</f>
        <v>29</v>
      </c>
    </row>
    <row r="84" customFormat="false" ht="15" hidden="false" customHeight="true" outlineLevel="0" collapsed="false">
      <c r="A84" s="1"/>
      <c r="B84" s="48" t="s">
        <v>297</v>
      </c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</row>
    <row r="85" customFormat="false" ht="15" hidden="false" customHeight="true" outlineLevel="0" collapsed="false">
      <c r="A85" s="1"/>
      <c r="B85" s="49" t="s">
        <v>259</v>
      </c>
      <c r="C85" s="30" t="s">
        <v>260</v>
      </c>
      <c r="D85" s="32" t="n">
        <v>8.27</v>
      </c>
      <c r="E85" s="51" t="n">
        <f aca="false">D85*2</f>
        <v>16.54</v>
      </c>
      <c r="F85" s="52" t="n">
        <v>78.57</v>
      </c>
      <c r="G85" s="53" t="n">
        <v>0.055</v>
      </c>
      <c r="H85" s="51" t="n">
        <f aca="false">F85*G85</f>
        <v>4.32135</v>
      </c>
      <c r="I85" s="32" t="n">
        <v>0.5</v>
      </c>
      <c r="J85" s="54" t="n">
        <f aca="false">E85+H85+I85</f>
        <v>21.36135</v>
      </c>
      <c r="K85" s="55" t="n">
        <f aca="false">CEILING(J85/(1-0.1),1)</f>
        <v>24</v>
      </c>
      <c r="L85" s="55" t="n">
        <f aca="false">CEILING(J85/(1-0.2),1)</f>
        <v>27</v>
      </c>
      <c r="M85" s="55" t="n">
        <f aca="false">CEILING(J85/(1-0.25),1)</f>
        <v>29</v>
      </c>
      <c r="N85" s="55" t="n">
        <f aca="false">CEILING(J85/(1-0.3),1)</f>
        <v>31</v>
      </c>
      <c r="O85" s="55" t="n">
        <f aca="false">CEILING(J85/(1-0.4),1)</f>
        <v>36</v>
      </c>
    </row>
    <row r="86" customFormat="false" ht="15" hidden="false" customHeight="true" outlineLevel="0" collapsed="false">
      <c r="A86" s="1"/>
      <c r="B86" s="49" t="s">
        <v>261</v>
      </c>
      <c r="C86" s="30" t="s">
        <v>262</v>
      </c>
      <c r="D86" s="32" t="n">
        <v>11.37</v>
      </c>
      <c r="E86" s="51" t="n">
        <f aca="false">D86*2</f>
        <v>22.74</v>
      </c>
      <c r="F86" s="52" t="n">
        <v>78.57</v>
      </c>
      <c r="G86" s="53" t="n">
        <v>0.055</v>
      </c>
      <c r="H86" s="51" t="n">
        <f aca="false">F86*G86</f>
        <v>4.32135</v>
      </c>
      <c r="I86" s="32" t="n">
        <v>0.5</v>
      </c>
      <c r="J86" s="54" t="n">
        <f aca="false">E86+H86+I86</f>
        <v>27.56135</v>
      </c>
      <c r="K86" s="55" t="n">
        <f aca="false">CEILING(J86/(1-0.1),1)</f>
        <v>31</v>
      </c>
      <c r="L86" s="55" t="n">
        <f aca="false">CEILING(J86/(1-0.2),1)</f>
        <v>35</v>
      </c>
      <c r="M86" s="55" t="n">
        <f aca="false">CEILING(J86/(1-0.25),1)</f>
        <v>37</v>
      </c>
      <c r="N86" s="55" t="n">
        <f aca="false">CEILING(J86/(1-0.3),1)</f>
        <v>40</v>
      </c>
      <c r="O86" s="55" t="n">
        <f aca="false">CEILING(J86/(1-0.4),1)</f>
        <v>46</v>
      </c>
    </row>
    <row r="87" customFormat="false" ht="15" hidden="false" customHeight="true" outlineLevel="0" collapsed="false">
      <c r="A87" s="1"/>
      <c r="B87" s="49" t="s">
        <v>263</v>
      </c>
      <c r="C87" s="30" t="s">
        <v>264</v>
      </c>
      <c r="D87" s="32" t="n">
        <v>19.75</v>
      </c>
      <c r="E87" s="51" t="n">
        <f aca="false">D87*2</f>
        <v>39.5</v>
      </c>
      <c r="F87" s="52" t="n">
        <v>78.57</v>
      </c>
      <c r="G87" s="53" t="n">
        <v>0.055</v>
      </c>
      <c r="H87" s="51" t="n">
        <f aca="false">F87*G87</f>
        <v>4.32135</v>
      </c>
      <c r="I87" s="32" t="n">
        <v>0.5</v>
      </c>
      <c r="J87" s="54" t="n">
        <f aca="false">E87+H87+I87</f>
        <v>44.32135</v>
      </c>
      <c r="K87" s="55" t="n">
        <f aca="false">CEILING(J87/(1-0.1),1)</f>
        <v>50</v>
      </c>
      <c r="L87" s="55" t="n">
        <f aca="false">CEILING(J87/(1-0.2),1)</f>
        <v>56</v>
      </c>
      <c r="M87" s="55" t="n">
        <f aca="false">CEILING(J87/(1-0.25),1)</f>
        <v>60</v>
      </c>
      <c r="N87" s="55" t="n">
        <f aca="false">CEILING(J87/(1-0.3),1)</f>
        <v>64</v>
      </c>
      <c r="O87" s="55" t="n">
        <f aca="false">CEILING(J87/(1-0.4),1)</f>
        <v>74</v>
      </c>
    </row>
    <row r="88" customFormat="false" ht="15" hidden="false" customHeight="true" outlineLevel="0" collapsed="false">
      <c r="A88" s="1"/>
      <c r="B88" s="48" t="s">
        <v>298</v>
      </c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</row>
    <row r="89" customFormat="false" ht="15" hidden="false" customHeight="true" outlineLevel="0" collapsed="false">
      <c r="A89" s="1"/>
      <c r="B89" s="49" t="s">
        <v>266</v>
      </c>
      <c r="C89" s="30" t="s">
        <v>267</v>
      </c>
      <c r="D89" s="32" t="n">
        <v>5.99</v>
      </c>
      <c r="E89" s="51" t="n">
        <f aca="false">D89*2</f>
        <v>11.98</v>
      </c>
      <c r="F89" s="52" t="n">
        <v>12.25</v>
      </c>
      <c r="G89" s="53" t="n">
        <v>0.055</v>
      </c>
      <c r="H89" s="51" t="n">
        <f aca="false">F89*G89</f>
        <v>0.67375</v>
      </c>
      <c r="I89" s="32" t="n">
        <v>0.5</v>
      </c>
      <c r="J89" s="54" t="n">
        <f aca="false">E89+H89+I89</f>
        <v>13.15375</v>
      </c>
      <c r="K89" s="55" t="n">
        <f aca="false">CEILING(J89/(1-0.1),1)</f>
        <v>15</v>
      </c>
      <c r="L89" s="55" t="n">
        <f aca="false">CEILING(J89/(1-0.2),1)</f>
        <v>17</v>
      </c>
      <c r="M89" s="55" t="n">
        <f aca="false">CEILING(J89/(1-0.25),1)</f>
        <v>18</v>
      </c>
      <c r="N89" s="55" t="n">
        <f aca="false">CEILING(J89/(1-0.3),1)</f>
        <v>19</v>
      </c>
      <c r="O89" s="55" t="n">
        <f aca="false">CEILING(J89/(1-0.4),1)</f>
        <v>22</v>
      </c>
    </row>
    <row r="90" customFormat="false" ht="15" hidden="false" customHeight="true" outlineLevel="0" collapsed="false">
      <c r="A90" s="1"/>
      <c r="B90" s="49" t="s">
        <v>268</v>
      </c>
      <c r="C90" s="30" t="s">
        <v>269</v>
      </c>
      <c r="D90" s="32" t="n">
        <v>5.68</v>
      </c>
      <c r="E90" s="51" t="n">
        <f aca="false">D90*2</f>
        <v>11.36</v>
      </c>
      <c r="F90" s="52" t="n">
        <v>12.25</v>
      </c>
      <c r="G90" s="53" t="n">
        <v>0.055</v>
      </c>
      <c r="H90" s="51" t="n">
        <f aca="false">F90*G90</f>
        <v>0.67375</v>
      </c>
      <c r="I90" s="32" t="n">
        <v>0.5</v>
      </c>
      <c r="J90" s="54" t="n">
        <f aca="false">E90+H90+I90</f>
        <v>12.53375</v>
      </c>
      <c r="K90" s="55" t="n">
        <f aca="false">CEILING(J90/(1-0.1),1)</f>
        <v>14</v>
      </c>
      <c r="L90" s="55" t="n">
        <f aca="false">CEILING(J90/(1-0.2),1)</f>
        <v>16</v>
      </c>
      <c r="M90" s="55" t="n">
        <f aca="false">CEILING(J90/(1-0.25),1)</f>
        <v>17</v>
      </c>
      <c r="N90" s="55" t="n">
        <f aca="false">CEILING(J90/(1-0.3),1)</f>
        <v>18</v>
      </c>
      <c r="O90" s="55" t="n">
        <f aca="false">CEILING(J90/(1-0.4),1)</f>
        <v>21</v>
      </c>
    </row>
    <row r="91" customFormat="false" ht="15" hidden="false" customHeight="true" outlineLevel="0" collapsed="false">
      <c r="A91" s="1"/>
      <c r="B91" s="49" t="s">
        <v>270</v>
      </c>
      <c r="C91" s="30" t="s">
        <v>271</v>
      </c>
      <c r="D91" s="32" t="n">
        <v>8.79</v>
      </c>
      <c r="E91" s="51" t="n">
        <f aca="false">D91*2</f>
        <v>17.58</v>
      </c>
      <c r="F91" s="52" t="n">
        <v>12.25</v>
      </c>
      <c r="G91" s="53" t="n">
        <v>0.055</v>
      </c>
      <c r="H91" s="51" t="n">
        <f aca="false">F91*G91</f>
        <v>0.67375</v>
      </c>
      <c r="I91" s="32" t="n">
        <v>0.5</v>
      </c>
      <c r="J91" s="54" t="n">
        <f aca="false">E91+H91+I91</f>
        <v>18.75375</v>
      </c>
      <c r="K91" s="55" t="n">
        <f aca="false">CEILING(J91/(1-0.1),1)</f>
        <v>21</v>
      </c>
      <c r="L91" s="55" t="n">
        <f aca="false">CEILING(J91/(1-0.2),1)</f>
        <v>24</v>
      </c>
      <c r="M91" s="55" t="n">
        <f aca="false">CEILING(J91/(1-0.25),1)</f>
        <v>26</v>
      </c>
      <c r="N91" s="55" t="n">
        <f aca="false">CEILING(J91/(1-0.3),1)</f>
        <v>27</v>
      </c>
      <c r="O91" s="55" t="n">
        <f aca="false">CEILING(J91/(1-0.4),1)</f>
        <v>32</v>
      </c>
    </row>
    <row r="92" customFormat="false" ht="15" hidden="false" customHeight="true" outlineLevel="0" collapsed="false">
      <c r="A92" s="1"/>
      <c r="B92" s="49" t="s">
        <v>272</v>
      </c>
      <c r="C92" s="30" t="s">
        <v>273</v>
      </c>
      <c r="D92" s="32" t="n">
        <v>9.3</v>
      </c>
      <c r="E92" s="51" t="n">
        <f aca="false">D92*2</f>
        <v>18.6</v>
      </c>
      <c r="F92" s="52" t="n">
        <v>12.25</v>
      </c>
      <c r="G92" s="53" t="n">
        <v>0.055</v>
      </c>
      <c r="H92" s="51" t="n">
        <f aca="false">F92*G92</f>
        <v>0.67375</v>
      </c>
      <c r="I92" s="32" t="n">
        <v>0.5</v>
      </c>
      <c r="J92" s="54" t="n">
        <f aca="false">E92+H92+I92</f>
        <v>19.77375</v>
      </c>
      <c r="K92" s="55" t="n">
        <f aca="false">CEILING(J92/(1-0.1),1)</f>
        <v>22</v>
      </c>
      <c r="L92" s="55" t="n">
        <f aca="false">CEILING(J92/(1-0.2),1)</f>
        <v>25</v>
      </c>
      <c r="M92" s="55" t="n">
        <f aca="false">CEILING(J92/(1-0.25),1)</f>
        <v>27</v>
      </c>
      <c r="N92" s="55" t="n">
        <f aca="false">CEILING(J92/(1-0.3),1)</f>
        <v>29</v>
      </c>
      <c r="O92" s="55" t="n">
        <f aca="false">CEILING(J92/(1-0.4),1)</f>
        <v>33</v>
      </c>
    </row>
    <row r="93" customFormat="false" ht="15" hidden="false" customHeight="true" outlineLevel="0" collapsed="false">
      <c r="A93" s="1"/>
      <c r="B93" s="49" t="s">
        <v>274</v>
      </c>
      <c r="C93" s="30" t="s">
        <v>275</v>
      </c>
      <c r="D93" s="32" t="n">
        <v>7.75</v>
      </c>
      <c r="E93" s="51" t="n">
        <f aca="false">D93*2</f>
        <v>15.5</v>
      </c>
      <c r="F93" s="52" t="n">
        <v>78.57</v>
      </c>
      <c r="G93" s="53" t="n">
        <v>0.055</v>
      </c>
      <c r="H93" s="51" t="n">
        <f aca="false">F93*G93</f>
        <v>4.32135</v>
      </c>
      <c r="I93" s="32" t="n">
        <v>0.5</v>
      </c>
      <c r="J93" s="54" t="n">
        <f aca="false">E93+H93+I93</f>
        <v>20.32135</v>
      </c>
      <c r="K93" s="55" t="n">
        <f aca="false">CEILING(J93/(1-0.1),1)</f>
        <v>23</v>
      </c>
      <c r="L93" s="55" t="n">
        <f aca="false">CEILING(J93/(1-0.2),1)</f>
        <v>26</v>
      </c>
      <c r="M93" s="55" t="n">
        <f aca="false">CEILING(J93/(1-0.25),1)</f>
        <v>28</v>
      </c>
      <c r="N93" s="55" t="n">
        <f aca="false">CEILING(J93/(1-0.3),1)</f>
        <v>30</v>
      </c>
      <c r="O93" s="55" t="n">
        <f aca="false">CEILING(J93/(1-0.4),1)</f>
        <v>34</v>
      </c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customFormat="false" ht="15" hidden="false" customHeight="true" outlineLevel="0" collapsed="false">
      <c r="A96" s="1"/>
      <c r="B96" s="50" t="s">
        <v>299</v>
      </c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</row>
    <row r="97" customFormat="false" ht="15" hidden="false" customHeight="true" outlineLevel="0" collapsed="false">
      <c r="A97" s="1"/>
      <c r="B97" s="50" t="s">
        <v>300</v>
      </c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</row>
    <row r="98" customFormat="false" ht="15" hidden="false" customHeight="true" outlineLevel="0" collapsed="false">
      <c r="A98" s="1"/>
      <c r="B98" s="50" t="s">
        <v>301</v>
      </c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</row>
    <row r="99" customFormat="false" ht="15" hidden="false" customHeight="true" outlineLevel="0" collapsed="false">
      <c r="A99" s="1"/>
      <c r="B99" s="50" t="s">
        <v>302</v>
      </c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</row>
    <row r="100" customFormat="false" ht="15" hidden="false" customHeight="true" outlineLevel="0" collapsed="false">
      <c r="A100" s="1"/>
      <c r="B100" s="50" t="s">
        <v>303</v>
      </c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</row>
    <row r="101" customFormat="false" ht="15" hidden="false" customHeight="true" outlineLevel="0" collapsed="false">
      <c r="A101" s="1"/>
      <c r="B101" s="50" t="s">
        <v>304</v>
      </c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17">
    <mergeCell ref="B2:O2"/>
    <mergeCell ref="B3:O3"/>
    <mergeCell ref="B6:O6"/>
    <mergeCell ref="B13:O13"/>
    <mergeCell ref="B19:O19"/>
    <mergeCell ref="B35:O35"/>
    <mergeCell ref="B51:O51"/>
    <mergeCell ref="B59:O59"/>
    <mergeCell ref="B70:O70"/>
    <mergeCell ref="B84:O84"/>
    <mergeCell ref="B88:O88"/>
    <mergeCell ref="B96:O96"/>
    <mergeCell ref="B97:O97"/>
    <mergeCell ref="B98:O98"/>
    <mergeCell ref="B99:O99"/>
    <mergeCell ref="B100:O100"/>
    <mergeCell ref="B101:O10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11" min="3" style="0" width="13"/>
    <col collapsed="false" customWidth="true" hidden="false" outlineLevel="0" max="12" min="12" style="0" width="1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7.25" hidden="false" customHeight="true" outlineLevel="0" collapsed="false">
      <c r="A2" s="1"/>
      <c r="B2" s="45" t="s">
        <v>305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1"/>
      <c r="B3" s="26" t="s">
        <v>306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"/>
      <c r="B5" s="46" t="s">
        <v>307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1.75" hidden="false" customHeight="true" outlineLevel="0" collapsed="false">
      <c r="A6" s="1"/>
      <c r="B6" s="56" t="s">
        <v>308</v>
      </c>
      <c r="C6" s="56" t="s">
        <v>73</v>
      </c>
      <c r="D6" s="56" t="s">
        <v>309</v>
      </c>
      <c r="E6" s="56" t="s">
        <v>310</v>
      </c>
      <c r="F6" s="56" t="s">
        <v>4</v>
      </c>
      <c r="G6" s="56" t="s">
        <v>311</v>
      </c>
      <c r="H6" s="56" t="s">
        <v>312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"/>
      <c r="B7" s="30" t="s">
        <v>7</v>
      </c>
      <c r="C7" s="33" t="n">
        <v>41.86</v>
      </c>
      <c r="D7" s="31" t="s">
        <v>313</v>
      </c>
      <c r="E7" s="33" t="n">
        <v>41.86</v>
      </c>
      <c r="F7" s="43" t="n">
        <v>80</v>
      </c>
      <c r="G7" s="51" t="n">
        <f aca="false">F7-E7</f>
        <v>38.14</v>
      </c>
      <c r="H7" s="57" t="n">
        <f aca="false">G7/F7</f>
        <v>0.47675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"/>
      <c r="B8" s="30" t="s">
        <v>13</v>
      </c>
      <c r="C8" s="33" t="n">
        <v>46.36</v>
      </c>
      <c r="D8" s="31" t="s">
        <v>313</v>
      </c>
      <c r="E8" s="33" t="n">
        <v>46.36</v>
      </c>
      <c r="F8" s="43" t="n">
        <v>92</v>
      </c>
      <c r="G8" s="51" t="n">
        <f aca="false">F8-E8</f>
        <v>45.64</v>
      </c>
      <c r="H8" s="57" t="n">
        <f aca="false">G8/F8</f>
        <v>0.496086956521739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A9" s="1"/>
      <c r="B9" s="30" t="s">
        <v>16</v>
      </c>
      <c r="C9" s="33" t="n">
        <v>13.15</v>
      </c>
      <c r="D9" s="31" t="s">
        <v>313</v>
      </c>
      <c r="E9" s="33" t="n">
        <v>13.15</v>
      </c>
      <c r="F9" s="43" t="n">
        <v>40</v>
      </c>
      <c r="G9" s="51" t="n">
        <f aca="false">F9-E9</f>
        <v>26.85</v>
      </c>
      <c r="H9" s="57" t="n">
        <f aca="false">G9/F9</f>
        <v>0.67125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"/>
      <c r="B10" s="30" t="s">
        <v>19</v>
      </c>
      <c r="C10" s="33" t="n">
        <v>27</v>
      </c>
      <c r="D10" s="31" t="s">
        <v>313</v>
      </c>
      <c r="E10" s="33" t="n">
        <v>27</v>
      </c>
      <c r="F10" s="43" t="n">
        <v>88</v>
      </c>
      <c r="G10" s="51" t="n">
        <f aca="false">F10-E10</f>
        <v>61</v>
      </c>
      <c r="H10" s="57" t="n">
        <f aca="false">G10/F10</f>
        <v>0.693181818181818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A11" s="1"/>
      <c r="B11" s="30" t="s">
        <v>26</v>
      </c>
      <c r="C11" s="33" t="n">
        <v>106.66</v>
      </c>
      <c r="D11" s="31" t="s">
        <v>313</v>
      </c>
      <c r="E11" s="33" t="n">
        <v>106.66</v>
      </c>
      <c r="F11" s="43" t="n">
        <v>202</v>
      </c>
      <c r="G11" s="51" t="n">
        <f aca="false">F11-E11</f>
        <v>95.34</v>
      </c>
      <c r="H11" s="57" t="n">
        <f aca="false">G11/F11</f>
        <v>0.471980198019802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"/>
      <c r="B12" s="30" t="s">
        <v>29</v>
      </c>
      <c r="C12" s="33" t="n">
        <v>88.44</v>
      </c>
      <c r="D12" s="31" t="s">
        <v>313</v>
      </c>
      <c r="E12" s="33" t="n">
        <v>88.44</v>
      </c>
      <c r="F12" s="43" t="n">
        <v>175</v>
      </c>
      <c r="G12" s="51" t="n">
        <f aca="false">F12-E12</f>
        <v>86.56</v>
      </c>
      <c r="H12" s="57" t="n">
        <f aca="false">G12/F12</f>
        <v>0.494628571428571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"/>
      <c r="B13" s="30" t="s">
        <v>31</v>
      </c>
      <c r="C13" s="33" t="n">
        <v>92.59</v>
      </c>
      <c r="D13" s="31" t="s">
        <v>313</v>
      </c>
      <c r="E13" s="33" t="n">
        <v>92.59</v>
      </c>
      <c r="F13" s="43" t="n">
        <v>191</v>
      </c>
      <c r="G13" s="51" t="n">
        <f aca="false">F13-E13</f>
        <v>98.41</v>
      </c>
      <c r="H13" s="57" t="n">
        <f aca="false">G13/F13</f>
        <v>0.515235602094241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"/>
      <c r="B14" s="30" t="s">
        <v>32</v>
      </c>
      <c r="C14" s="33" t="n">
        <v>124.89</v>
      </c>
      <c r="D14" s="31" t="s">
        <v>313</v>
      </c>
      <c r="E14" s="33" t="n">
        <v>124.89</v>
      </c>
      <c r="F14" s="43" t="n">
        <v>242</v>
      </c>
      <c r="G14" s="51" t="n">
        <f aca="false">F14-E14</f>
        <v>117.11</v>
      </c>
      <c r="H14" s="57" t="n">
        <f aca="false">G14/F14</f>
        <v>0.483925619834711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"/>
      <c r="B15" s="30" t="s">
        <v>35</v>
      </c>
      <c r="C15" s="33" t="n">
        <v>144.47</v>
      </c>
      <c r="D15" s="31" t="s">
        <v>313</v>
      </c>
      <c r="E15" s="33" t="n">
        <v>144.47</v>
      </c>
      <c r="F15" s="43" t="n">
        <v>287</v>
      </c>
      <c r="G15" s="51" t="n">
        <f aca="false">F15-E15</f>
        <v>142.53</v>
      </c>
      <c r="H15" s="57" t="n">
        <f aca="false">G15/F15</f>
        <v>0.496620209059233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"/>
      <c r="B16" s="30" t="s">
        <v>38</v>
      </c>
      <c r="C16" s="33" t="n">
        <v>154.97</v>
      </c>
      <c r="D16" s="31" t="s">
        <v>313</v>
      </c>
      <c r="E16" s="33" t="n">
        <v>154.97</v>
      </c>
      <c r="F16" s="43" t="n">
        <v>323</v>
      </c>
      <c r="G16" s="51" t="n">
        <f aca="false">F16-E16</f>
        <v>168.03</v>
      </c>
      <c r="H16" s="57" t="n">
        <f aca="false">G16/F16</f>
        <v>0.520216718266254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A18" s="1"/>
      <c r="B18" s="58" t="s">
        <v>314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"/>
      <c r="B19" s="30" t="s">
        <v>48</v>
      </c>
      <c r="C19" s="51" t="n">
        <v>41.86</v>
      </c>
      <c r="D19" s="31" t="s">
        <v>313</v>
      </c>
      <c r="E19" s="51" t="n">
        <v>41.86</v>
      </c>
      <c r="F19" s="43" t="n">
        <v>75</v>
      </c>
      <c r="G19" s="51" t="n">
        <f aca="false">F19-E19</f>
        <v>33.14</v>
      </c>
      <c r="H19" s="57" t="n">
        <f aca="false">G19/F19</f>
        <v>0.441866666666667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A20" s="1"/>
      <c r="B20" s="30" t="s">
        <v>52</v>
      </c>
      <c r="C20" s="51" t="n">
        <v>60.09</v>
      </c>
      <c r="D20" s="31" t="s">
        <v>313</v>
      </c>
      <c r="E20" s="51" t="n">
        <v>60.09</v>
      </c>
      <c r="F20" s="43" t="n">
        <v>113</v>
      </c>
      <c r="G20" s="51" t="n">
        <f aca="false">F20-E20</f>
        <v>52.91</v>
      </c>
      <c r="H20" s="57" t="n">
        <f aca="false">G20/F20</f>
        <v>0.468230088495575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1"/>
      <c r="B21" s="30" t="s">
        <v>53</v>
      </c>
      <c r="C21" s="51" t="n">
        <v>70.21</v>
      </c>
      <c r="D21" s="31" t="s">
        <v>313</v>
      </c>
      <c r="E21" s="51" t="n">
        <v>70.21</v>
      </c>
      <c r="F21" s="43" t="n">
        <v>125</v>
      </c>
      <c r="G21" s="51" t="n">
        <f aca="false">F21-E21</f>
        <v>54.79</v>
      </c>
      <c r="H21" s="57" t="n">
        <f aca="false">G21/F21</f>
        <v>0.43832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" hidden="false" customHeight="true" outlineLevel="0" collapsed="false">
      <c r="A24" s="1"/>
      <c r="B24" s="46" t="s">
        <v>315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31.5" hidden="false" customHeight="true" outlineLevel="0" collapsed="false">
      <c r="A25" s="1"/>
      <c r="B25" s="47" t="s">
        <v>308</v>
      </c>
      <c r="C25" s="47" t="s">
        <v>59</v>
      </c>
      <c r="D25" s="47" t="s">
        <v>60</v>
      </c>
      <c r="E25" s="47" t="s">
        <v>62</v>
      </c>
      <c r="F25" s="47" t="s">
        <v>63</v>
      </c>
      <c r="G25" s="47" t="s">
        <v>316</v>
      </c>
      <c r="H25" s="47" t="s">
        <v>65</v>
      </c>
      <c r="I25" s="47" t="s">
        <v>317</v>
      </c>
      <c r="J25" s="47" t="s">
        <v>318</v>
      </c>
      <c r="K25" s="47" t="s">
        <v>286</v>
      </c>
      <c r="L25" s="47" t="s">
        <v>319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A26" s="1"/>
      <c r="B26" s="30" t="s">
        <v>66</v>
      </c>
      <c r="C26" s="32" t="n">
        <f aca="false">5.39+5.89</f>
        <v>11.28</v>
      </c>
      <c r="D26" s="51" t="n">
        <f aca="false">C26*2</f>
        <v>22.56</v>
      </c>
      <c r="E26" s="51" t="n">
        <f aca="false">78.57*0.055+12.25*0.055</f>
        <v>4.9951</v>
      </c>
      <c r="F26" s="51" t="n">
        <f aca="false">2*0.5</f>
        <v>1</v>
      </c>
      <c r="G26" s="54" t="n">
        <f aca="false">D26+E26+F26</f>
        <v>28.5551</v>
      </c>
      <c r="H26" s="43" t="n">
        <v>45</v>
      </c>
      <c r="I26" s="51" t="n">
        <f aca="false">H26-G26</f>
        <v>16.4449</v>
      </c>
      <c r="J26" s="57" t="n">
        <f aca="false">I26/H26</f>
        <v>0.365442222222222</v>
      </c>
      <c r="K26" s="51" t="n">
        <f aca="false">G26</f>
        <v>28.5551</v>
      </c>
      <c r="L26" s="57" t="n">
        <f aca="false">(H26-K26)/K26</f>
        <v>0.57590062720845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" hidden="false" customHeight="true" outlineLevel="0" collapsed="false">
      <c r="A27" s="1"/>
      <c r="B27" s="30" t="s">
        <v>74</v>
      </c>
      <c r="C27" s="32" t="n">
        <f aca="false">5.39+5.89+4.5</f>
        <v>15.78</v>
      </c>
      <c r="D27" s="51" t="n">
        <f aca="false">C27*2</f>
        <v>31.56</v>
      </c>
      <c r="E27" s="51" t="n">
        <f aca="false">78.57*0.055+12.25*0.055+78.57*0.055</f>
        <v>9.31645</v>
      </c>
      <c r="F27" s="51" t="n">
        <f aca="false">3*0.5</f>
        <v>1.5</v>
      </c>
      <c r="G27" s="54" t="n">
        <f aca="false">D27+E27+F27</f>
        <v>42.37645</v>
      </c>
      <c r="H27" s="43" t="n">
        <v>55</v>
      </c>
      <c r="I27" s="51" t="n">
        <f aca="false">H27-G27</f>
        <v>12.62355</v>
      </c>
      <c r="J27" s="57" t="n">
        <f aca="false">I27/H27</f>
        <v>0.229519090909091</v>
      </c>
      <c r="K27" s="51" t="n">
        <f aca="false">G27</f>
        <v>42.37645</v>
      </c>
      <c r="L27" s="57" t="n">
        <f aca="false">(H27-K27)/K27</f>
        <v>0.29789069164595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1"/>
      <c r="B28" s="30" t="s">
        <v>76</v>
      </c>
      <c r="C28" s="32" t="n">
        <f aca="false">4.13+5.89+4.5</f>
        <v>14.52</v>
      </c>
      <c r="D28" s="51" t="n">
        <f aca="false">C28*2</f>
        <v>29.04</v>
      </c>
      <c r="E28" s="51" t="n">
        <f aca="false">78.57*0.055+12.25*0.055+78.57*0.055</f>
        <v>9.31645</v>
      </c>
      <c r="F28" s="51" t="n">
        <f aca="false">3*0.5</f>
        <v>1.5</v>
      </c>
      <c r="G28" s="54" t="n">
        <f aca="false">D28+E28+F28</f>
        <v>39.85645</v>
      </c>
      <c r="H28" s="43" t="n">
        <v>50</v>
      </c>
      <c r="I28" s="51" t="n">
        <f aca="false">H28-G28</f>
        <v>10.14355</v>
      </c>
      <c r="J28" s="57" t="n">
        <f aca="false">I28/H28</f>
        <v>0.202871</v>
      </c>
      <c r="K28" s="51" t="n">
        <f aca="false">G28</f>
        <v>39.85645</v>
      </c>
      <c r="L28" s="57" t="n">
        <f aca="false">(H28-K28)/K28</f>
        <v>0.254502094391247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" hidden="false" customHeight="true" outlineLevel="0" collapsed="false">
      <c r="A29" s="1"/>
      <c r="B29" s="30" t="s">
        <v>79</v>
      </c>
      <c r="C29" s="32" t="n">
        <f aca="false">4.13+5.89+4.5+6</f>
        <v>20.52</v>
      </c>
      <c r="D29" s="51" t="n">
        <f aca="false">C29*2</f>
        <v>41.04</v>
      </c>
      <c r="E29" s="51" t="n">
        <f aca="false">78.57*0.055+12.25*0.055+78.57*0.055+78.57*0.055</f>
        <v>13.6378</v>
      </c>
      <c r="F29" s="51" t="n">
        <f aca="false">4*0.5</f>
        <v>2</v>
      </c>
      <c r="G29" s="54" t="n">
        <f aca="false">D29+E29+F29</f>
        <v>56.6778</v>
      </c>
      <c r="H29" s="43" t="n">
        <v>75</v>
      </c>
      <c r="I29" s="51" t="n">
        <f aca="false">H29-G29</f>
        <v>18.3222</v>
      </c>
      <c r="J29" s="57" t="n">
        <f aca="false">I29/H29</f>
        <v>0.244296</v>
      </c>
      <c r="K29" s="51" t="n">
        <f aca="false">G29</f>
        <v>56.6778</v>
      </c>
      <c r="L29" s="57" t="n">
        <f aca="false">(H29-K29)/K29</f>
        <v>0.323269428241746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true" outlineLevel="0" collapsed="false">
      <c r="A30" s="1"/>
      <c r="B30" s="30" t="s">
        <v>80</v>
      </c>
      <c r="C30" s="32" t="n">
        <f aca="false">5.39+5.89+4.5+10</f>
        <v>25.78</v>
      </c>
      <c r="D30" s="51" t="n">
        <f aca="false">C30*2</f>
        <v>51.56</v>
      </c>
      <c r="E30" s="51" t="n">
        <f aca="false">78.57*0.055+12.25*0.055+78.57*0.055+78.57*0.055</f>
        <v>13.6378</v>
      </c>
      <c r="F30" s="51" t="n">
        <f aca="false">4*0.5</f>
        <v>2</v>
      </c>
      <c r="G30" s="54" t="n">
        <f aca="false">D30+E30+F30</f>
        <v>67.1978</v>
      </c>
      <c r="H30" s="43" t="n">
        <v>85</v>
      </c>
      <c r="I30" s="51" t="n">
        <f aca="false">H30-G30</f>
        <v>17.8022</v>
      </c>
      <c r="J30" s="57" t="n">
        <f aca="false">I30/H30</f>
        <v>0.209437647058824</v>
      </c>
      <c r="K30" s="51" t="n">
        <f aca="false">G30</f>
        <v>67.1978</v>
      </c>
      <c r="L30" s="57" t="n">
        <f aca="false">(H30-K30)/K30</f>
        <v>0.264922363529758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" hidden="false" customHeight="true" outlineLevel="0" collapsed="false">
      <c r="A31" s="1"/>
      <c r="B31" s="30" t="s">
        <v>82</v>
      </c>
      <c r="C31" s="32" t="n">
        <f aca="false">6.2+5.89+4.5</f>
        <v>16.59</v>
      </c>
      <c r="D31" s="51" t="n">
        <f aca="false">C31*2</f>
        <v>33.18</v>
      </c>
      <c r="E31" s="51" t="n">
        <f aca="false">78.57*0.055+12.25*0.055+78.57*0.055</f>
        <v>9.31645</v>
      </c>
      <c r="F31" s="51" t="n">
        <f aca="false">3*0.5</f>
        <v>1.5</v>
      </c>
      <c r="G31" s="54" t="n">
        <f aca="false">D31+E31+F31</f>
        <v>43.99645</v>
      </c>
      <c r="H31" s="43" t="n">
        <v>55</v>
      </c>
      <c r="I31" s="51" t="n">
        <f aca="false">H31-G31</f>
        <v>11.00355</v>
      </c>
      <c r="J31" s="57" t="n">
        <f aca="false">I31/H31</f>
        <v>0.200064545454546</v>
      </c>
      <c r="K31" s="51" t="n">
        <f aca="false">G31</f>
        <v>43.99645</v>
      </c>
      <c r="L31" s="57" t="n">
        <f aca="false">(H31-K31)/K31</f>
        <v>0.250100860410329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" hidden="false" customHeight="true" outlineLevel="0" collapsed="false">
      <c r="A32" s="1"/>
      <c r="B32" s="30" t="s">
        <v>85</v>
      </c>
      <c r="C32" s="32" t="n">
        <f aca="false">5.39+5.89+4.5+12+12</f>
        <v>39.78</v>
      </c>
      <c r="D32" s="51" t="n">
        <f aca="false">C32*2</f>
        <v>79.56</v>
      </c>
      <c r="E32" s="51" t="n">
        <f aca="false">78.57*0.055+12.25*0.055+78.57*0.055+78.57*0.055+78.57*0.055</f>
        <v>17.95915</v>
      </c>
      <c r="F32" s="51" t="n">
        <f aca="false">5*0.5</f>
        <v>2.5</v>
      </c>
      <c r="G32" s="54" t="n">
        <f aca="false">D32+E32+F32</f>
        <v>100.01915</v>
      </c>
      <c r="H32" s="43" t="n">
        <v>125</v>
      </c>
      <c r="I32" s="51" t="n">
        <f aca="false">H32-G32</f>
        <v>24.98085</v>
      </c>
      <c r="J32" s="57" t="n">
        <f aca="false">I32/H32</f>
        <v>0.1998468</v>
      </c>
      <c r="K32" s="51" t="n">
        <f aca="false">G32</f>
        <v>100.01915</v>
      </c>
      <c r="L32" s="57" t="n">
        <f aca="false">(H32-K32)/K32</f>
        <v>0.249760670831536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" hidden="false" customHeight="true" outlineLevel="0" collapsed="false">
      <c r="A33" s="1"/>
      <c r="B33" s="30" t="s">
        <v>88</v>
      </c>
      <c r="C33" s="32" t="n">
        <f aca="false">5.39+5.89+4.5+6+12+12</f>
        <v>45.78</v>
      </c>
      <c r="D33" s="51" t="n">
        <f aca="false">C33*2</f>
        <v>91.56</v>
      </c>
      <c r="E33" s="51" t="n">
        <f aca="false">78.57*0.055+12.25*0.055+78.57*0.055+78.57*0.055+78.57*0.055+78.57*0.055</f>
        <v>22.2805</v>
      </c>
      <c r="F33" s="51" t="n">
        <f aca="false">6*0.5</f>
        <v>3</v>
      </c>
      <c r="G33" s="54" t="n">
        <f aca="false">D33+E33+F33</f>
        <v>116.8405</v>
      </c>
      <c r="H33" s="43" t="n">
        <v>150</v>
      </c>
      <c r="I33" s="51" t="n">
        <f aca="false">H33-G33</f>
        <v>33.1595</v>
      </c>
      <c r="J33" s="57" t="n">
        <f aca="false">I33/H33</f>
        <v>0.221063333333333</v>
      </c>
      <c r="K33" s="51" t="n">
        <f aca="false">G33</f>
        <v>116.8405</v>
      </c>
      <c r="L33" s="57" t="n">
        <f aca="false">(H33-K33)/K33</f>
        <v>0.283801421596108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" hidden="false" customHeight="true" outlineLevel="0" collapsed="false">
      <c r="A35" s="1"/>
      <c r="B35" s="58" t="s">
        <v>320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true" outlineLevel="0" collapsed="false">
      <c r="A36" s="1"/>
      <c r="B36" s="30" t="s">
        <v>321</v>
      </c>
      <c r="C36" s="32" t="n">
        <f aca="false">5.39+5.89</f>
        <v>11.28</v>
      </c>
      <c r="D36" s="51" t="n">
        <f aca="false">C36*2</f>
        <v>22.56</v>
      </c>
      <c r="E36" s="51" t="n">
        <f aca="false">78.57*0.055+12.25*0.055</f>
        <v>4.9951</v>
      </c>
      <c r="F36" s="51" t="n">
        <f aca="false">2*0.5</f>
        <v>1</v>
      </c>
      <c r="G36" s="54" t="n">
        <f aca="false">D36+E36+F36</f>
        <v>28.5551</v>
      </c>
      <c r="H36" s="43" t="n">
        <v>40</v>
      </c>
      <c r="I36" s="51" t="n">
        <f aca="false">H36-G36</f>
        <v>11.4449</v>
      </c>
      <c r="J36" s="57" t="n">
        <f aca="false">I36/H36</f>
        <v>0.2861225</v>
      </c>
      <c r="K36" s="51" t="n">
        <f aca="false">G36</f>
        <v>28.5551</v>
      </c>
      <c r="L36" s="57" t="n">
        <f aca="false">(H36-K36)/K36</f>
        <v>0.400800557518622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" hidden="false" customHeight="true" outlineLevel="0" collapsed="false">
      <c r="A37" s="1"/>
      <c r="B37" s="30" t="s">
        <v>322</v>
      </c>
      <c r="C37" s="32" t="n">
        <f aca="false">5.39+5.89+4.5</f>
        <v>15.78</v>
      </c>
      <c r="D37" s="51" t="n">
        <f aca="false">C37*2</f>
        <v>31.56</v>
      </c>
      <c r="E37" s="51" t="n">
        <f aca="false">78.57*0.055+12.25*0.055+78.57*0.055</f>
        <v>9.31645</v>
      </c>
      <c r="F37" s="51" t="n">
        <f aca="false">3*0.5</f>
        <v>1.5</v>
      </c>
      <c r="G37" s="54" t="n">
        <f aca="false">D37+E37+F37</f>
        <v>42.37645</v>
      </c>
      <c r="H37" s="43" t="n">
        <v>55</v>
      </c>
      <c r="I37" s="51" t="n">
        <f aca="false">H37-G37</f>
        <v>12.62355</v>
      </c>
      <c r="J37" s="57" t="n">
        <f aca="false">I37/H37</f>
        <v>0.229519090909091</v>
      </c>
      <c r="K37" s="51" t="n">
        <f aca="false">G37</f>
        <v>42.37645</v>
      </c>
      <c r="L37" s="57" t="n">
        <f aca="false">(H37-K37)/K37</f>
        <v>0.29789069164595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true" outlineLevel="0" collapsed="false">
      <c r="A38" s="1"/>
      <c r="B38" s="30" t="s">
        <v>323</v>
      </c>
      <c r="C38" s="32" t="n">
        <f aca="false">5.39+5.89+4.5+7</f>
        <v>22.78</v>
      </c>
      <c r="D38" s="51" t="n">
        <f aca="false">C38*2</f>
        <v>45.56</v>
      </c>
      <c r="E38" s="51" t="n">
        <f aca="false">78.57*0.055+12.25*0.055+78.57*0.055+12.25*0.055</f>
        <v>9.9902</v>
      </c>
      <c r="F38" s="51" t="n">
        <f aca="false">4*0.5</f>
        <v>2</v>
      </c>
      <c r="G38" s="54" t="n">
        <f aca="false">D38+E38+F38</f>
        <v>57.5502</v>
      </c>
      <c r="H38" s="43" t="n">
        <v>75</v>
      </c>
      <c r="I38" s="51" t="n">
        <f aca="false">H38-G38</f>
        <v>17.4498</v>
      </c>
      <c r="J38" s="57" t="n">
        <f aca="false">I38/H38</f>
        <v>0.232664</v>
      </c>
      <c r="K38" s="51" t="n">
        <f aca="false">G38</f>
        <v>57.5502</v>
      </c>
      <c r="L38" s="57" t="n">
        <f aca="false">(H38-K38)/K38</f>
        <v>0.303210067037126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true" outlineLevel="0" collapsed="false">
      <c r="A41" s="1"/>
      <c r="B41" s="46" t="s">
        <v>324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31.5" hidden="false" customHeight="true" outlineLevel="0" collapsed="false">
      <c r="A42" s="1"/>
      <c r="B42" s="47" t="s">
        <v>308</v>
      </c>
      <c r="C42" s="47" t="s">
        <v>59</v>
      </c>
      <c r="D42" s="47" t="s">
        <v>60</v>
      </c>
      <c r="E42" s="47" t="s">
        <v>62</v>
      </c>
      <c r="F42" s="47" t="s">
        <v>63</v>
      </c>
      <c r="G42" s="47" t="s">
        <v>316</v>
      </c>
      <c r="H42" s="47" t="s">
        <v>65</v>
      </c>
      <c r="I42" s="47" t="s">
        <v>317</v>
      </c>
      <c r="J42" s="47" t="s">
        <v>318</v>
      </c>
      <c r="K42" s="47" t="s">
        <v>286</v>
      </c>
      <c r="L42" s="47" t="s">
        <v>319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" hidden="false" customHeight="true" outlineLevel="0" collapsed="false">
      <c r="A43" s="1"/>
      <c r="B43" s="30" t="s">
        <v>66</v>
      </c>
      <c r="C43" s="32" t="n">
        <f aca="false">9.23+7.84</f>
        <v>17.07</v>
      </c>
      <c r="D43" s="51" t="n">
        <f aca="false">C43*2</f>
        <v>34.14</v>
      </c>
      <c r="E43" s="51" t="n">
        <f aca="false">78.57*0.055+12.25*0.055</f>
        <v>4.9951</v>
      </c>
      <c r="F43" s="51" t="n">
        <f aca="false">2*0.5</f>
        <v>1</v>
      </c>
      <c r="G43" s="54" t="n">
        <f aca="false">D43+E43+F43</f>
        <v>40.1351</v>
      </c>
      <c r="H43" s="43" t="n">
        <v>51</v>
      </c>
      <c r="I43" s="51" t="n">
        <f aca="false">H43-G43</f>
        <v>10.8649</v>
      </c>
      <c r="J43" s="57" t="n">
        <f aca="false">I43/H43</f>
        <v>0.213037254901961</v>
      </c>
      <c r="K43" s="51" t="n">
        <f aca="false">G43</f>
        <v>40.1351</v>
      </c>
      <c r="L43" s="57" t="n">
        <f aca="false">(H43-K43)/K43</f>
        <v>0.270708183111541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" hidden="false" customHeight="true" outlineLevel="0" collapsed="false">
      <c r="A44" s="1"/>
      <c r="B44" s="30" t="s">
        <v>74</v>
      </c>
      <c r="C44" s="32" t="n">
        <f aca="false">9.23+7.84+4.5</f>
        <v>21.57</v>
      </c>
      <c r="D44" s="51" t="n">
        <f aca="false">C44*2</f>
        <v>43.14</v>
      </c>
      <c r="E44" s="51" t="n">
        <f aca="false">78.57*0.055+12.25*0.055+78.57*0.055</f>
        <v>9.31645</v>
      </c>
      <c r="F44" s="51" t="n">
        <f aca="false">3*0.5</f>
        <v>1.5</v>
      </c>
      <c r="G44" s="54" t="n">
        <f aca="false">D44+E44+F44</f>
        <v>53.95645</v>
      </c>
      <c r="H44" s="43" t="n">
        <v>68</v>
      </c>
      <c r="I44" s="51" t="n">
        <f aca="false">H44-G44</f>
        <v>14.04355</v>
      </c>
      <c r="J44" s="57" t="n">
        <f aca="false">I44/H44</f>
        <v>0.206522794117647</v>
      </c>
      <c r="K44" s="51" t="n">
        <f aca="false">G44</f>
        <v>53.95645</v>
      </c>
      <c r="L44" s="57" t="n">
        <f aca="false">(H44-K44)/K44</f>
        <v>0.26027564823112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" hidden="false" customHeight="true" outlineLevel="0" collapsed="false">
      <c r="A45" s="1"/>
      <c r="B45" s="30" t="s">
        <v>76</v>
      </c>
      <c r="C45" s="32" t="n">
        <f aca="false">6.61+7.84+4.5</f>
        <v>18.95</v>
      </c>
      <c r="D45" s="51" t="n">
        <f aca="false">C45*2</f>
        <v>37.9</v>
      </c>
      <c r="E45" s="51" t="n">
        <f aca="false">78.57*0.055+12.25*0.055+78.57*0.055</f>
        <v>9.31645</v>
      </c>
      <c r="F45" s="51" t="n">
        <f aca="false">3*0.5</f>
        <v>1.5</v>
      </c>
      <c r="G45" s="54" t="n">
        <f aca="false">D45+E45+F45</f>
        <v>48.71645</v>
      </c>
      <c r="H45" s="43" t="n">
        <v>61</v>
      </c>
      <c r="I45" s="51" t="n">
        <f aca="false">H45-G45</f>
        <v>12.28355</v>
      </c>
      <c r="J45" s="57" t="n">
        <f aca="false">I45/H45</f>
        <v>0.201369672131148</v>
      </c>
      <c r="K45" s="51" t="n">
        <f aca="false">G45</f>
        <v>48.71645</v>
      </c>
      <c r="L45" s="57" t="n">
        <f aca="false">(H45-K45)/K45</f>
        <v>0.2521437830548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" hidden="false" customHeight="true" outlineLevel="0" collapsed="false">
      <c r="A46" s="1"/>
      <c r="B46" s="30" t="s">
        <v>79</v>
      </c>
      <c r="C46" s="32" t="n">
        <f aca="false">6.61+7.84+4.5+6</f>
        <v>24.95</v>
      </c>
      <c r="D46" s="51" t="n">
        <f aca="false">C46*2</f>
        <v>49.9</v>
      </c>
      <c r="E46" s="51" t="n">
        <f aca="false">78.57*0.055+12.25*0.055+78.57*0.055+78.57*0.055</f>
        <v>13.6378</v>
      </c>
      <c r="F46" s="51" t="n">
        <f aca="false">4*0.5</f>
        <v>2</v>
      </c>
      <c r="G46" s="54" t="n">
        <f aca="false">D46+E46+F46</f>
        <v>65.5378</v>
      </c>
      <c r="H46" s="43" t="n">
        <v>82</v>
      </c>
      <c r="I46" s="51" t="n">
        <f aca="false">H46-G46</f>
        <v>16.4622</v>
      </c>
      <c r="J46" s="57" t="n">
        <f aca="false">I46/H46</f>
        <v>0.200758536585366</v>
      </c>
      <c r="K46" s="51" t="n">
        <f aca="false">G46</f>
        <v>65.5378</v>
      </c>
      <c r="L46" s="57" t="n">
        <f aca="false">(H46-K46)/K46</f>
        <v>0.251186338265856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" hidden="false" customHeight="true" outlineLevel="0" collapsed="false">
      <c r="A47" s="1"/>
      <c r="B47" s="30" t="s">
        <v>80</v>
      </c>
      <c r="C47" s="32" t="n">
        <f aca="false">9.23+7.84+4.5+10</f>
        <v>31.57</v>
      </c>
      <c r="D47" s="51" t="n">
        <f aca="false">C47*2</f>
        <v>63.14</v>
      </c>
      <c r="E47" s="51" t="n">
        <f aca="false">78.57*0.055+12.25*0.055+78.57*0.055+78.57*0.055</f>
        <v>13.6378</v>
      </c>
      <c r="F47" s="51" t="n">
        <f aca="false">4*0.5</f>
        <v>2</v>
      </c>
      <c r="G47" s="54" t="n">
        <f aca="false">D47+E47+F47</f>
        <v>78.7778</v>
      </c>
      <c r="H47" s="43" t="n">
        <v>99</v>
      </c>
      <c r="I47" s="51" t="n">
        <f aca="false">H47-G47</f>
        <v>20.2222</v>
      </c>
      <c r="J47" s="57" t="n">
        <f aca="false">I47/H47</f>
        <v>0.204264646464646</v>
      </c>
      <c r="K47" s="51" t="n">
        <f aca="false">G47</f>
        <v>78.7778</v>
      </c>
      <c r="L47" s="57" t="n">
        <f aca="false">(H47-K47)/K47</f>
        <v>0.256699222369754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" hidden="false" customHeight="true" outlineLevel="0" collapsed="false">
      <c r="A48" s="1"/>
      <c r="B48" s="30" t="s">
        <v>85</v>
      </c>
      <c r="C48" s="32" t="n">
        <f aca="false">9.23+7.84+4.5+12+12</f>
        <v>45.57</v>
      </c>
      <c r="D48" s="51" t="n">
        <f aca="false">C48*2</f>
        <v>91.14</v>
      </c>
      <c r="E48" s="51" t="n">
        <f aca="false">78.57*0.055+12.25*0.055+78.57*0.055+78.57*0.055+78.57*0.055</f>
        <v>17.95915</v>
      </c>
      <c r="F48" s="51" t="n">
        <f aca="false">5*0.5</f>
        <v>2.5</v>
      </c>
      <c r="G48" s="54" t="n">
        <f aca="false">D48+E48+F48</f>
        <v>111.59915</v>
      </c>
      <c r="H48" s="43" t="n">
        <v>140</v>
      </c>
      <c r="I48" s="51" t="n">
        <f aca="false">H48-G48</f>
        <v>28.40085</v>
      </c>
      <c r="J48" s="57" t="n">
        <f aca="false">I48/H48</f>
        <v>0.202863214285714</v>
      </c>
      <c r="K48" s="51" t="n">
        <f aca="false">G48</f>
        <v>111.59915</v>
      </c>
      <c r="L48" s="57" t="n">
        <f aca="false">(H48-K48)/K48</f>
        <v>0.254489841544492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true" outlineLevel="0" collapsed="false">
      <c r="A49" s="1"/>
      <c r="B49" s="30" t="s">
        <v>88</v>
      </c>
      <c r="C49" s="32" t="n">
        <f aca="false">9.23+7.84+4.5+6+12+12</f>
        <v>51.57</v>
      </c>
      <c r="D49" s="51" t="n">
        <f aca="false">C49*2</f>
        <v>103.14</v>
      </c>
      <c r="E49" s="51" t="n">
        <f aca="false">78.57*0.055+12.25*0.055+78.57*0.055+78.57*0.055+78.57*0.055+78.57*0.055</f>
        <v>22.2805</v>
      </c>
      <c r="F49" s="51" t="n">
        <f aca="false">6*0.5</f>
        <v>3</v>
      </c>
      <c r="G49" s="54" t="n">
        <f aca="false">D49+E49+F49</f>
        <v>128.4205</v>
      </c>
      <c r="H49" s="43" t="n">
        <v>161</v>
      </c>
      <c r="I49" s="51" t="n">
        <f aca="false">H49-G49</f>
        <v>32.5795</v>
      </c>
      <c r="J49" s="57" t="n">
        <f aca="false">I49/H49</f>
        <v>0.202357142857143</v>
      </c>
      <c r="K49" s="51" t="n">
        <f aca="false">G49</f>
        <v>128.4205</v>
      </c>
      <c r="L49" s="57" t="n">
        <f aca="false">(H49-K49)/K49</f>
        <v>0.25369391958449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true" outlineLevel="0" collapsed="false">
      <c r="A51" s="1"/>
      <c r="B51" s="58" t="s">
        <v>325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true" outlineLevel="0" collapsed="false">
      <c r="A52" s="1"/>
      <c r="B52" s="30" t="s">
        <v>321</v>
      </c>
      <c r="C52" s="32" t="n">
        <f aca="false">9.23+7.84</f>
        <v>17.07</v>
      </c>
      <c r="D52" s="51" t="n">
        <f aca="false">C52*2</f>
        <v>34.14</v>
      </c>
      <c r="E52" s="51" t="n">
        <f aca="false">78.57*0.055+12.25*0.055</f>
        <v>4.9951</v>
      </c>
      <c r="F52" s="51" t="n">
        <f aca="false">2*0.5</f>
        <v>1</v>
      </c>
      <c r="G52" s="54" t="n">
        <f aca="false">D52+E52+F52</f>
        <v>40.1351</v>
      </c>
      <c r="H52" s="43" t="n">
        <v>51</v>
      </c>
      <c r="I52" s="51" t="n">
        <f aca="false">H52-G52</f>
        <v>10.8649</v>
      </c>
      <c r="J52" s="57" t="n">
        <f aca="false">I52/H52</f>
        <v>0.213037254901961</v>
      </c>
      <c r="K52" s="51" t="n">
        <f aca="false">G52</f>
        <v>40.1351</v>
      </c>
      <c r="L52" s="57" t="n">
        <f aca="false">(H52-K52)/K52</f>
        <v>0.270708183111541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true" outlineLevel="0" collapsed="false">
      <c r="A53" s="1"/>
      <c r="B53" s="30" t="s">
        <v>322</v>
      </c>
      <c r="C53" s="32" t="n">
        <f aca="false">9.23+7.84+4.5</f>
        <v>21.57</v>
      </c>
      <c r="D53" s="51" t="n">
        <f aca="false">C53*2</f>
        <v>43.14</v>
      </c>
      <c r="E53" s="51" t="n">
        <f aca="false">78.57*0.055+12.25*0.055+78.57*0.055</f>
        <v>9.31645</v>
      </c>
      <c r="F53" s="51" t="n">
        <f aca="false">3*0.5</f>
        <v>1.5</v>
      </c>
      <c r="G53" s="54" t="n">
        <f aca="false">D53+E53+F53</f>
        <v>53.95645</v>
      </c>
      <c r="H53" s="43" t="n">
        <v>68</v>
      </c>
      <c r="I53" s="51" t="n">
        <f aca="false">H53-G53</f>
        <v>14.04355</v>
      </c>
      <c r="J53" s="57" t="n">
        <f aca="false">I53/H53</f>
        <v>0.206522794117647</v>
      </c>
      <c r="K53" s="51" t="n">
        <f aca="false">G53</f>
        <v>53.95645</v>
      </c>
      <c r="L53" s="57" t="n">
        <f aca="false">(H53-K53)/K53</f>
        <v>0.26027564823112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true" outlineLevel="0" collapsed="false">
      <c r="A54" s="1"/>
      <c r="B54" s="30" t="s">
        <v>323</v>
      </c>
      <c r="C54" s="32" t="n">
        <f aca="false">9.23+7.84+4.5+7</f>
        <v>28.57</v>
      </c>
      <c r="D54" s="51" t="n">
        <f aca="false">C54*2</f>
        <v>57.14</v>
      </c>
      <c r="E54" s="51" t="n">
        <f aca="false">78.57*0.055+12.25*0.055+78.57*0.055+12.25*0.055</f>
        <v>9.9902</v>
      </c>
      <c r="F54" s="51" t="n">
        <f aca="false">4*0.5</f>
        <v>2</v>
      </c>
      <c r="G54" s="54" t="n">
        <f aca="false">D54+E54+F54</f>
        <v>69.1302</v>
      </c>
      <c r="H54" s="43" t="n">
        <v>87</v>
      </c>
      <c r="I54" s="51" t="n">
        <f aca="false">H54-G54</f>
        <v>17.8698</v>
      </c>
      <c r="J54" s="57" t="n">
        <f aca="false">I54/H54</f>
        <v>0.2054</v>
      </c>
      <c r="K54" s="51" t="n">
        <f aca="false">G54</f>
        <v>69.1302</v>
      </c>
      <c r="L54" s="57" t="n">
        <f aca="false">(H54-K54)/K54</f>
        <v>0.258494840171155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true" outlineLevel="0" collapsed="false">
      <c r="A57" s="1"/>
      <c r="B57" s="50" t="s">
        <v>326</v>
      </c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" hidden="false" customHeight="true" outlineLevel="0" collapsed="false">
      <c r="A58" s="1"/>
      <c r="B58" s="50" t="s">
        <v>327</v>
      </c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" hidden="false" customHeight="true" outlineLevel="0" collapsed="false">
      <c r="A59" s="1"/>
      <c r="B59" s="50" t="s">
        <v>328</v>
      </c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true" outlineLevel="0" collapsed="false">
      <c r="A60" s="1"/>
      <c r="B60" s="50" t="s">
        <v>329</v>
      </c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true" outlineLevel="0" collapsed="false">
      <c r="A61" s="1"/>
      <c r="B61" s="50" t="s">
        <v>330</v>
      </c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true" outlineLevel="0" collapsed="false">
      <c r="A62" s="1"/>
      <c r="B62" s="50" t="s">
        <v>331</v>
      </c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B2:L2"/>
    <mergeCell ref="B3:L3"/>
    <mergeCell ref="B5:L5"/>
    <mergeCell ref="B24:L24"/>
    <mergeCell ref="B41:L41"/>
    <mergeCell ref="B57:L57"/>
    <mergeCell ref="B58:L58"/>
    <mergeCell ref="B59:L59"/>
    <mergeCell ref="B60:L60"/>
    <mergeCell ref="B61:L61"/>
    <mergeCell ref="B62:L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20.8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11" min="7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7.25" hidden="false" customHeight="true" outlineLevel="0" collapsed="false">
      <c r="A2" s="1"/>
      <c r="B2" s="45" t="s">
        <v>332</v>
      </c>
      <c r="C2" s="45"/>
      <c r="D2" s="45"/>
      <c r="E2" s="45"/>
      <c r="F2" s="45"/>
      <c r="G2" s="45"/>
      <c r="H2" s="45"/>
      <c r="I2" s="45"/>
      <c r="J2" s="45"/>
      <c r="K2" s="4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1"/>
      <c r="B3" s="26" t="s">
        <v>333</v>
      </c>
      <c r="C3" s="26"/>
      <c r="D3" s="26"/>
      <c r="E3" s="26"/>
      <c r="F3" s="26"/>
      <c r="G3" s="26"/>
      <c r="H3" s="26"/>
      <c r="I3" s="26"/>
      <c r="J3" s="26"/>
      <c r="K3" s="2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"/>
      <c r="B5" s="46" t="s">
        <v>334</v>
      </c>
      <c r="C5" s="46"/>
      <c r="D5" s="46"/>
      <c r="E5" s="46"/>
      <c r="F5" s="46"/>
      <c r="G5" s="46"/>
      <c r="H5" s="46"/>
      <c r="I5" s="4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1.75" hidden="false" customHeight="true" outlineLevel="0" collapsed="false">
      <c r="A6" s="1"/>
      <c r="B6" s="56" t="s">
        <v>335</v>
      </c>
      <c r="C6" s="56" t="s">
        <v>336</v>
      </c>
      <c r="D6" s="56" t="s">
        <v>337</v>
      </c>
      <c r="E6" s="56" t="s">
        <v>338</v>
      </c>
      <c r="F6" s="56" t="s">
        <v>339</v>
      </c>
      <c r="G6" s="56" t="s">
        <v>340</v>
      </c>
      <c r="H6" s="56" t="s">
        <v>341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"/>
      <c r="B7" s="30" t="s">
        <v>342</v>
      </c>
      <c r="C7" s="53" t="n">
        <v>0.06</v>
      </c>
      <c r="D7" s="53" t="n">
        <v>0.055</v>
      </c>
      <c r="E7" s="53" t="n">
        <v>0.05</v>
      </c>
      <c r="F7" s="53" t="n">
        <v>0.045</v>
      </c>
      <c r="G7" s="53" t="n">
        <v>0.04</v>
      </c>
      <c r="H7" s="31" t="s">
        <v>343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"/>
      <c r="B8" s="27" t="s">
        <v>344</v>
      </c>
      <c r="C8" s="27"/>
      <c r="D8" s="27"/>
      <c r="E8" s="27"/>
      <c r="F8" s="27"/>
      <c r="G8" s="27"/>
      <c r="H8" s="2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A10" s="1"/>
      <c r="B10" s="46" t="s">
        <v>345</v>
      </c>
      <c r="C10" s="46"/>
      <c r="D10" s="46"/>
      <c r="E10" s="46"/>
      <c r="F10" s="46"/>
      <c r="G10" s="46"/>
      <c r="H10" s="46"/>
      <c r="I10" s="4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21.75" hidden="false" customHeight="true" outlineLevel="0" collapsed="false">
      <c r="A11" s="1"/>
      <c r="B11" s="56" t="s">
        <v>346</v>
      </c>
      <c r="C11" s="56" t="s">
        <v>347</v>
      </c>
      <c r="D11" s="56" t="s">
        <v>348</v>
      </c>
      <c r="E11" s="56" t="s">
        <v>349</v>
      </c>
      <c r="F11" s="56" t="s">
        <v>336</v>
      </c>
      <c r="G11" s="56" t="s">
        <v>337</v>
      </c>
      <c r="H11" s="56" t="s">
        <v>338</v>
      </c>
      <c r="I11" s="56" t="s">
        <v>339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"/>
      <c r="B12" s="30" t="s">
        <v>350</v>
      </c>
      <c r="C12" s="31" t="s">
        <v>351</v>
      </c>
      <c r="D12" s="31" t="s">
        <v>352</v>
      </c>
      <c r="E12" s="59" t="n">
        <v>78.57</v>
      </c>
      <c r="F12" s="33" t="n">
        <v>4.7142</v>
      </c>
      <c r="G12" s="33" t="n">
        <v>4.32135</v>
      </c>
      <c r="H12" s="33" t="n">
        <v>3.9285</v>
      </c>
      <c r="I12" s="33" t="n">
        <v>3.53565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A13" s="1"/>
      <c r="B13" s="30" t="s">
        <v>353</v>
      </c>
      <c r="C13" s="31" t="s">
        <v>354</v>
      </c>
      <c r="D13" s="31" t="s">
        <v>355</v>
      </c>
      <c r="E13" s="59" t="n">
        <v>101.2</v>
      </c>
      <c r="F13" s="33" t="n">
        <v>6.072</v>
      </c>
      <c r="G13" s="33" t="n">
        <v>5.566</v>
      </c>
      <c r="H13" s="33" t="n">
        <v>5.06</v>
      </c>
      <c r="I13" s="33" t="n">
        <v>4.554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A14" s="1"/>
      <c r="B14" s="30" t="s">
        <v>356</v>
      </c>
      <c r="C14" s="31" t="s">
        <v>351</v>
      </c>
      <c r="D14" s="31" t="s">
        <v>357</v>
      </c>
      <c r="E14" s="59" t="n">
        <v>165.9</v>
      </c>
      <c r="F14" s="33" t="n">
        <v>9.954</v>
      </c>
      <c r="G14" s="33" t="n">
        <v>9.1245</v>
      </c>
      <c r="H14" s="33" t="n">
        <v>8.295</v>
      </c>
      <c r="I14" s="33" t="n">
        <v>7.4655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A15" s="1"/>
      <c r="B15" s="30" t="s">
        <v>358</v>
      </c>
      <c r="C15" s="31" t="s">
        <v>359</v>
      </c>
      <c r="D15" s="31" t="s">
        <v>359</v>
      </c>
      <c r="E15" s="59" t="n">
        <v>12.25</v>
      </c>
      <c r="F15" s="33" t="n">
        <v>0.735</v>
      </c>
      <c r="G15" s="33" t="n">
        <v>0.67375</v>
      </c>
      <c r="H15" s="33" t="n">
        <v>0.6125</v>
      </c>
      <c r="I15" s="33" t="n">
        <v>0.55125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"/>
      <c r="B16" s="30" t="s">
        <v>360</v>
      </c>
      <c r="C16" s="31" t="s">
        <v>359</v>
      </c>
      <c r="D16" s="31" t="s">
        <v>359</v>
      </c>
      <c r="E16" s="59" t="n">
        <v>12.25</v>
      </c>
      <c r="F16" s="33" t="n">
        <v>0.735</v>
      </c>
      <c r="G16" s="33" t="n">
        <v>0.67375</v>
      </c>
      <c r="H16" s="33" t="n">
        <v>0.6125</v>
      </c>
      <c r="I16" s="33" t="n">
        <v>0.55125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A17" s="1"/>
      <c r="B17" s="30" t="s">
        <v>361</v>
      </c>
      <c r="C17" s="31" t="s">
        <v>359</v>
      </c>
      <c r="D17" s="31" t="s">
        <v>359</v>
      </c>
      <c r="E17" s="59" t="n">
        <v>12.25</v>
      </c>
      <c r="F17" s="33" t="n">
        <v>0.735</v>
      </c>
      <c r="G17" s="33" t="n">
        <v>0.67375</v>
      </c>
      <c r="H17" s="33" t="n">
        <v>0.6125</v>
      </c>
      <c r="I17" s="33" t="n">
        <v>0.55125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A19" s="1"/>
      <c r="B19" s="46" t="s">
        <v>362</v>
      </c>
      <c r="C19" s="46"/>
      <c r="D19" s="46"/>
      <c r="E19" s="46"/>
      <c r="F19" s="46"/>
      <c r="G19" s="46"/>
      <c r="H19" s="46"/>
      <c r="I19" s="4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21.75" hidden="false" customHeight="true" outlineLevel="0" collapsed="false">
      <c r="A20" s="1"/>
      <c r="B20" s="56" t="s">
        <v>363</v>
      </c>
      <c r="C20" s="56" t="s">
        <v>364</v>
      </c>
      <c r="D20" s="56" t="s">
        <v>365</v>
      </c>
      <c r="E20" s="56" t="s">
        <v>366</v>
      </c>
      <c r="F20" s="56" t="s">
        <v>367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32.25" hidden="false" customHeight="true" outlineLevel="0" collapsed="false">
      <c r="A21" s="1"/>
      <c r="B21" s="30" t="s">
        <v>368</v>
      </c>
      <c r="C21" s="60" t="s">
        <v>369</v>
      </c>
      <c r="D21" s="31" t="s">
        <v>370</v>
      </c>
      <c r="E21" s="61" t="s">
        <v>371</v>
      </c>
      <c r="F21" s="31" t="s">
        <v>372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32.25" hidden="false" customHeight="true" outlineLevel="0" collapsed="false">
      <c r="A22" s="1"/>
      <c r="B22" s="30" t="s">
        <v>373</v>
      </c>
      <c r="C22" s="60" t="s">
        <v>374</v>
      </c>
      <c r="D22" s="31" t="s">
        <v>375</v>
      </c>
      <c r="E22" s="61" t="s">
        <v>376</v>
      </c>
      <c r="F22" s="31" t="s">
        <v>377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32.25" hidden="false" customHeight="true" outlineLevel="0" collapsed="false">
      <c r="A23" s="1"/>
      <c r="B23" s="30" t="s">
        <v>378</v>
      </c>
      <c r="C23" s="60" t="s">
        <v>374</v>
      </c>
      <c r="D23" s="31" t="s">
        <v>379</v>
      </c>
      <c r="E23" s="61" t="s">
        <v>380</v>
      </c>
      <c r="F23" s="31" t="s">
        <v>381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21.75" hidden="false" customHeight="true" outlineLevel="0" collapsed="false">
      <c r="A24" s="1"/>
      <c r="B24" s="30" t="s">
        <v>382</v>
      </c>
      <c r="C24" s="60" t="s">
        <v>374</v>
      </c>
      <c r="D24" s="31" t="s">
        <v>383</v>
      </c>
      <c r="E24" s="61" t="s">
        <v>384</v>
      </c>
      <c r="F24" s="31" t="s">
        <v>385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" hidden="false" customHeight="true" outlineLevel="0" collapsed="false">
      <c r="A26" s="1"/>
      <c r="B26" s="50" t="s">
        <v>386</v>
      </c>
      <c r="C26" s="50"/>
      <c r="D26" s="50"/>
      <c r="E26" s="50"/>
      <c r="F26" s="50"/>
      <c r="G26" s="50"/>
      <c r="H26" s="50"/>
      <c r="I26" s="5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" hidden="false" customHeight="true" outlineLevel="0" collapsed="false">
      <c r="A28" s="1"/>
      <c r="B28" s="46" t="s">
        <v>387</v>
      </c>
      <c r="C28" s="46"/>
      <c r="D28" s="46"/>
      <c r="E28" s="46"/>
      <c r="F28" s="46"/>
      <c r="G28" s="46"/>
      <c r="H28" s="46"/>
      <c r="I28" s="4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21.75" hidden="false" customHeight="true" outlineLevel="0" collapsed="false">
      <c r="A29" s="1"/>
      <c r="B29" s="56" t="s">
        <v>388</v>
      </c>
      <c r="C29" s="56" t="s">
        <v>389</v>
      </c>
      <c r="D29" s="56" t="s">
        <v>390</v>
      </c>
      <c r="E29" s="5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53.25" hidden="false" customHeight="true" outlineLevel="0" collapsed="false">
      <c r="A30" s="1"/>
      <c r="B30" s="62" t="s">
        <v>391</v>
      </c>
      <c r="C30" s="60" t="s">
        <v>392</v>
      </c>
      <c r="D30" s="61" t="s">
        <v>393</v>
      </c>
      <c r="E30" s="6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41.25" hidden="false" customHeight="true" outlineLevel="0" collapsed="false">
      <c r="A31" s="1"/>
      <c r="B31" s="62" t="s">
        <v>394</v>
      </c>
      <c r="C31" s="60" t="s">
        <v>395</v>
      </c>
      <c r="D31" s="61" t="s">
        <v>396</v>
      </c>
      <c r="E31" s="6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38.25" hidden="false" customHeight="true" outlineLevel="0" collapsed="false">
      <c r="A32" s="1"/>
      <c r="B32" s="62" t="s">
        <v>397</v>
      </c>
      <c r="C32" s="60" t="s">
        <v>398</v>
      </c>
      <c r="D32" s="61" t="s">
        <v>399</v>
      </c>
      <c r="E32" s="6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39" hidden="false" customHeight="true" outlineLevel="0" collapsed="false">
      <c r="A33" s="1"/>
      <c r="B33" s="62" t="s">
        <v>400</v>
      </c>
      <c r="C33" s="60" t="s">
        <v>401</v>
      </c>
      <c r="D33" s="61" t="s">
        <v>402</v>
      </c>
      <c r="E33" s="6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45.75" hidden="false" customHeight="true" outlineLevel="0" collapsed="false">
      <c r="A34" s="1"/>
      <c r="B34" s="62" t="s">
        <v>403</v>
      </c>
      <c r="C34" s="60" t="s">
        <v>404</v>
      </c>
      <c r="D34" s="61" t="s">
        <v>405</v>
      </c>
      <c r="E34" s="6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" hidden="false" customHeight="true" outlineLevel="0" collapsed="false">
      <c r="A36" s="1"/>
      <c r="B36" s="46" t="s">
        <v>406</v>
      </c>
      <c r="C36" s="46"/>
      <c r="D36" s="46"/>
      <c r="E36" s="46"/>
      <c r="F36" s="46"/>
      <c r="G36" s="46"/>
      <c r="H36" s="46"/>
      <c r="I36" s="4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21.75" hidden="false" customHeight="true" outlineLevel="0" collapsed="false">
      <c r="A37" s="1"/>
      <c r="B37" s="56" t="s">
        <v>407</v>
      </c>
      <c r="C37" s="56" t="s">
        <v>408</v>
      </c>
      <c r="D37" s="56" t="s">
        <v>389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" hidden="false" customHeight="true" outlineLevel="0" collapsed="false">
      <c r="A38" s="1"/>
      <c r="B38" s="30" t="s">
        <v>409</v>
      </c>
      <c r="C38" s="60" t="s">
        <v>410</v>
      </c>
      <c r="D38" s="63" t="s">
        <v>411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" hidden="false" customHeight="true" outlineLevel="0" collapsed="false">
      <c r="A39" s="1"/>
      <c r="B39" s="30" t="s">
        <v>412</v>
      </c>
      <c r="C39" s="60" t="s">
        <v>413</v>
      </c>
      <c r="D39" s="63" t="s">
        <v>414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" hidden="false" customHeight="true" outlineLevel="0" collapsed="false">
      <c r="A40" s="1"/>
      <c r="B40" s="30" t="s">
        <v>415</v>
      </c>
      <c r="C40" s="60" t="s">
        <v>416</v>
      </c>
      <c r="D40" s="63" t="s">
        <v>417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" hidden="false" customHeight="true" outlineLevel="0" collapsed="false">
      <c r="A41" s="1"/>
      <c r="B41" s="30" t="s">
        <v>418</v>
      </c>
      <c r="C41" s="60" t="s">
        <v>369</v>
      </c>
      <c r="D41" s="63" t="s">
        <v>419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" hidden="false" customHeight="true" outlineLevel="0" collapsed="false">
      <c r="A42" s="1"/>
      <c r="B42" s="64" t="s">
        <v>420</v>
      </c>
      <c r="C42" s="65" t="s">
        <v>421</v>
      </c>
      <c r="D42" s="66" t="s">
        <v>422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" hidden="false" customHeight="true" outlineLevel="0" collapsed="false">
      <c r="A43" s="1"/>
      <c r="B43" s="30" t="s">
        <v>423</v>
      </c>
      <c r="C43" s="60" t="s">
        <v>424</v>
      </c>
      <c r="D43" s="63" t="s">
        <v>425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" hidden="false" customHeight="true" outlineLevel="0" collapsed="false">
      <c r="A44" s="1"/>
      <c r="B44" s="30" t="s">
        <v>426</v>
      </c>
      <c r="C44" s="60" t="s">
        <v>427</v>
      </c>
      <c r="D44" s="63" t="s">
        <v>428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" hidden="false" customHeight="true" outlineLevel="0" collapsed="false">
      <c r="A45" s="1"/>
      <c r="B45" s="30" t="s">
        <v>429</v>
      </c>
      <c r="C45" s="60" t="s">
        <v>430</v>
      </c>
      <c r="D45" s="63" t="s">
        <v>431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" hidden="false" customHeight="true" outlineLevel="0" collapsed="false">
      <c r="A46" s="1"/>
      <c r="B46" s="64" t="s">
        <v>432</v>
      </c>
      <c r="C46" s="65" t="s">
        <v>433</v>
      </c>
      <c r="D46" s="66" t="s">
        <v>434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" hidden="false" customHeight="true" outlineLevel="0" collapsed="false">
      <c r="A49" s="1"/>
      <c r="B49" s="46" t="s">
        <v>435</v>
      </c>
      <c r="C49" s="46"/>
      <c r="D49" s="46"/>
      <c r="E49" s="46"/>
      <c r="F49" s="46"/>
      <c r="G49" s="46"/>
      <c r="H49" s="46"/>
      <c r="I49" s="4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21.75" hidden="false" customHeight="true" outlineLevel="0" collapsed="false">
      <c r="A50" s="1"/>
      <c r="B50" s="56" t="s">
        <v>436</v>
      </c>
      <c r="C50" s="56" t="s">
        <v>437</v>
      </c>
      <c r="D50" s="56" t="s">
        <v>438</v>
      </c>
      <c r="E50" s="56" t="s">
        <v>439</v>
      </c>
      <c r="F50" s="56" t="s">
        <v>440</v>
      </c>
      <c r="G50" s="56" t="s">
        <v>441</v>
      </c>
      <c r="H50" s="56" t="s">
        <v>366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" hidden="false" customHeight="true" outlineLevel="0" collapsed="false">
      <c r="A51" s="1"/>
      <c r="B51" s="30" t="s">
        <v>442</v>
      </c>
      <c r="C51" s="31" t="s">
        <v>443</v>
      </c>
      <c r="D51" s="32" t="n">
        <v>5.39</v>
      </c>
      <c r="E51" s="31" t="s">
        <v>444</v>
      </c>
      <c r="F51" s="32" t="n">
        <v>6.61</v>
      </c>
      <c r="G51" s="67" t="n">
        <v>-1.22</v>
      </c>
      <c r="H51" s="63" t="s">
        <v>445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" hidden="false" customHeight="true" outlineLevel="0" collapsed="false">
      <c r="A52" s="1"/>
      <c r="B52" s="30" t="s">
        <v>446</v>
      </c>
      <c r="C52" s="31" t="s">
        <v>313</v>
      </c>
      <c r="D52" s="31" t="s">
        <v>313</v>
      </c>
      <c r="E52" s="31" t="s">
        <v>447</v>
      </c>
      <c r="F52" s="32" t="n">
        <v>9.45</v>
      </c>
      <c r="G52" s="31" t="s">
        <v>313</v>
      </c>
      <c r="H52" s="63" t="s">
        <v>448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" hidden="false" customHeight="true" outlineLevel="0" collapsed="false">
      <c r="A53" s="1"/>
      <c r="B53" s="30" t="s">
        <v>449</v>
      </c>
      <c r="C53" s="31" t="s">
        <v>313</v>
      </c>
      <c r="D53" s="31" t="s">
        <v>313</v>
      </c>
      <c r="E53" s="31" t="s">
        <v>450</v>
      </c>
      <c r="F53" s="32" t="n">
        <v>9.01</v>
      </c>
      <c r="G53" s="31" t="s">
        <v>313</v>
      </c>
      <c r="H53" s="63" t="s">
        <v>448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" hidden="false" customHeight="true" outlineLevel="0" collapsed="false">
      <c r="A54" s="1"/>
      <c r="B54" s="30" t="s">
        <v>451</v>
      </c>
      <c r="C54" s="31" t="s">
        <v>452</v>
      </c>
      <c r="D54" s="32" t="n">
        <v>4.13</v>
      </c>
      <c r="E54" s="31" t="s">
        <v>313</v>
      </c>
      <c r="F54" s="31" t="s">
        <v>313</v>
      </c>
      <c r="G54" s="31" t="s">
        <v>313</v>
      </c>
      <c r="H54" s="63" t="s">
        <v>453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" hidden="false" customHeight="true" outlineLevel="0" collapsed="false">
      <c r="A55" s="1"/>
      <c r="B55" s="30" t="s">
        <v>454</v>
      </c>
      <c r="C55" s="31" t="s">
        <v>126</v>
      </c>
      <c r="D55" s="32" t="n">
        <v>6.2</v>
      </c>
      <c r="E55" s="31" t="s">
        <v>313</v>
      </c>
      <c r="F55" s="31" t="s">
        <v>313</v>
      </c>
      <c r="G55" s="31" t="s">
        <v>313</v>
      </c>
      <c r="H55" s="63" t="s">
        <v>455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" hidden="false" customHeight="true" outlineLevel="0" collapsed="false">
      <c r="A56" s="1"/>
      <c r="B56" s="30" t="s">
        <v>456</v>
      </c>
      <c r="C56" s="31" t="s">
        <v>457</v>
      </c>
      <c r="D56" s="32" t="n">
        <v>5.89</v>
      </c>
      <c r="E56" s="31" t="s">
        <v>458</v>
      </c>
      <c r="F56" s="32" t="n">
        <v>5.84</v>
      </c>
      <c r="G56" s="68" t="n">
        <v>0.0499999999999998</v>
      </c>
      <c r="H56" s="63" t="s">
        <v>459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" hidden="false" customHeight="true" outlineLevel="0" collapsed="false">
      <c r="A57" s="1"/>
      <c r="B57" s="30" t="s">
        <v>460</v>
      </c>
      <c r="C57" s="31" t="s">
        <v>461</v>
      </c>
      <c r="D57" s="32" t="n">
        <v>5.89</v>
      </c>
      <c r="E57" s="31" t="s">
        <v>462</v>
      </c>
      <c r="F57" s="32" t="n">
        <v>9.73</v>
      </c>
      <c r="G57" s="67" t="n">
        <v>-3.84</v>
      </c>
      <c r="H57" s="63" t="s">
        <v>463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" hidden="false" customHeight="true" outlineLevel="0" collapsed="false">
      <c r="A60" s="1"/>
      <c r="B60" s="69" t="s">
        <v>464</v>
      </c>
      <c r="C60" s="69"/>
      <c r="D60" s="69"/>
      <c r="E60" s="69"/>
      <c r="F60" s="69"/>
      <c r="G60" s="69"/>
      <c r="H60" s="69"/>
      <c r="I60" s="69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" hidden="false" customHeight="true" outlineLevel="0" collapsed="false">
      <c r="A61" s="1"/>
      <c r="B61" s="50" t="s">
        <v>465</v>
      </c>
      <c r="C61" s="50"/>
      <c r="D61" s="50"/>
      <c r="E61" s="50"/>
      <c r="F61" s="50"/>
      <c r="G61" s="50"/>
      <c r="H61" s="50"/>
      <c r="I61" s="5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" hidden="false" customHeight="true" outlineLevel="0" collapsed="false">
      <c r="A62" s="1"/>
      <c r="B62" s="50" t="s">
        <v>466</v>
      </c>
      <c r="C62" s="50"/>
      <c r="D62" s="50"/>
      <c r="E62" s="50"/>
      <c r="F62" s="50"/>
      <c r="G62" s="50"/>
      <c r="H62" s="50"/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" hidden="false" customHeight="true" outlineLevel="0" collapsed="false">
      <c r="A63" s="1"/>
      <c r="B63" s="50" t="s">
        <v>467</v>
      </c>
      <c r="C63" s="50"/>
      <c r="D63" s="50"/>
      <c r="E63" s="50"/>
      <c r="F63" s="50"/>
      <c r="G63" s="50"/>
      <c r="H63" s="50"/>
      <c r="I63" s="5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" hidden="false" customHeight="true" outlineLevel="0" collapsed="false">
      <c r="A64" s="1"/>
      <c r="B64" s="50" t="s">
        <v>468</v>
      </c>
      <c r="C64" s="50"/>
      <c r="D64" s="50"/>
      <c r="E64" s="50"/>
      <c r="F64" s="50"/>
      <c r="G64" s="50"/>
      <c r="H64" s="50"/>
      <c r="I64" s="5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" hidden="false" customHeight="true" outlineLevel="0" collapsed="false">
      <c r="A65" s="1"/>
      <c r="B65" s="50" t="s">
        <v>469</v>
      </c>
      <c r="C65" s="50"/>
      <c r="D65" s="50"/>
      <c r="E65" s="50"/>
      <c r="F65" s="50"/>
      <c r="G65" s="50"/>
      <c r="H65" s="50"/>
      <c r="I65" s="5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" hidden="false" customHeight="true" outlineLevel="0" collapsed="false">
      <c r="A66" s="1"/>
      <c r="B66" s="50" t="s">
        <v>470</v>
      </c>
      <c r="C66" s="50"/>
      <c r="D66" s="50"/>
      <c r="E66" s="50"/>
      <c r="F66" s="50"/>
      <c r="G66" s="50"/>
      <c r="H66" s="50"/>
      <c r="I66" s="5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2">
    <mergeCell ref="B2:K2"/>
    <mergeCell ref="B3:K3"/>
    <mergeCell ref="B5:I5"/>
    <mergeCell ref="B8:H8"/>
    <mergeCell ref="B10:I10"/>
    <mergeCell ref="B19:I19"/>
    <mergeCell ref="B26:I26"/>
    <mergeCell ref="B28:I28"/>
    <mergeCell ref="D30:E30"/>
    <mergeCell ref="D31:E31"/>
    <mergeCell ref="D32:E32"/>
    <mergeCell ref="D33:E33"/>
    <mergeCell ref="D34:E34"/>
    <mergeCell ref="B36:I36"/>
    <mergeCell ref="B49:I49"/>
    <mergeCell ref="B60:I60"/>
    <mergeCell ref="B61:I61"/>
    <mergeCell ref="B62:I62"/>
    <mergeCell ref="B63:I63"/>
    <mergeCell ref="B64:I64"/>
    <mergeCell ref="B65:I65"/>
    <mergeCell ref="B66:I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757D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22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7.25" hidden="false" customHeight="true" outlineLevel="0" collapsed="false">
      <c r="A2" s="1"/>
      <c r="B2" s="2" t="s">
        <v>471</v>
      </c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1"/>
      <c r="B4" s="70" t="s">
        <v>472</v>
      </c>
      <c r="C4" s="70" t="s">
        <v>473</v>
      </c>
      <c r="D4" s="70" t="s">
        <v>474</v>
      </c>
      <c r="E4" s="70" t="s">
        <v>475</v>
      </c>
      <c r="F4" s="70" t="s">
        <v>366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"/>
      <c r="B5" s="1" t="s">
        <v>476</v>
      </c>
      <c r="C5" s="71" t="s">
        <v>477</v>
      </c>
      <c r="D5" s="71" t="s">
        <v>313</v>
      </c>
      <c r="E5" s="71" t="s">
        <v>313</v>
      </c>
      <c r="F5" s="72" t="s">
        <v>478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1"/>
      <c r="B6" s="73" t="s">
        <v>479</v>
      </c>
      <c r="C6" s="74" t="s">
        <v>313</v>
      </c>
      <c r="D6" s="74" t="s">
        <v>480</v>
      </c>
      <c r="E6" s="74" t="s">
        <v>481</v>
      </c>
      <c r="F6" s="75" t="s">
        <v>482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23.25" hidden="false" customHeight="true" outlineLevel="0" collapsed="false">
      <c r="A7" s="1"/>
      <c r="B7" s="1" t="s">
        <v>483</v>
      </c>
      <c r="C7" s="71" t="s">
        <v>313</v>
      </c>
      <c r="D7" s="71" t="s">
        <v>484</v>
      </c>
      <c r="E7" s="71" t="s">
        <v>485</v>
      </c>
      <c r="F7" s="72" t="s">
        <v>486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1"/>
      <c r="B8" s="73" t="s">
        <v>487</v>
      </c>
      <c r="C8" s="74" t="s">
        <v>313</v>
      </c>
      <c r="D8" s="74" t="s">
        <v>488</v>
      </c>
      <c r="E8" s="74" t="s">
        <v>489</v>
      </c>
      <c r="F8" s="75" t="s">
        <v>490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23.25" hidden="false" customHeight="true" outlineLevel="0" collapsed="false">
      <c r="A9" s="1"/>
      <c r="B9" s="1" t="s">
        <v>491</v>
      </c>
      <c r="C9" s="71" t="s">
        <v>313</v>
      </c>
      <c r="D9" s="71" t="s">
        <v>492</v>
      </c>
      <c r="E9" s="71" t="s">
        <v>493</v>
      </c>
      <c r="F9" s="72" t="s">
        <v>494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23.25" hidden="false" customHeight="true" outlineLevel="0" collapsed="false">
      <c r="A10" s="1"/>
      <c r="B10" s="73" t="s">
        <v>495</v>
      </c>
      <c r="C10" s="74" t="s">
        <v>313</v>
      </c>
      <c r="D10" s="74" t="s">
        <v>496</v>
      </c>
      <c r="E10" s="74" t="s">
        <v>497</v>
      </c>
      <c r="F10" s="75" t="s">
        <v>498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23.25" hidden="false" customHeight="true" outlineLevel="0" collapsed="false">
      <c r="A11" s="1"/>
      <c r="B11" s="1" t="s">
        <v>499</v>
      </c>
      <c r="C11" s="71" t="s">
        <v>500</v>
      </c>
      <c r="D11" s="71" t="s">
        <v>501</v>
      </c>
      <c r="E11" s="71" t="s">
        <v>502</v>
      </c>
      <c r="F11" s="72" t="s">
        <v>503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23.25" hidden="false" customHeight="true" outlineLevel="0" collapsed="false">
      <c r="A12" s="1"/>
      <c r="B12" s="73" t="s">
        <v>504</v>
      </c>
      <c r="C12" s="74" t="s">
        <v>313</v>
      </c>
      <c r="D12" s="74" t="s">
        <v>313</v>
      </c>
      <c r="E12" s="74" t="s">
        <v>505</v>
      </c>
      <c r="F12" s="75" t="s">
        <v>506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3.25" hidden="false" customHeight="true" outlineLevel="0" collapsed="false">
      <c r="A13" s="1"/>
      <c r="B13" s="1" t="s">
        <v>507</v>
      </c>
      <c r="C13" s="71" t="s">
        <v>313</v>
      </c>
      <c r="D13" s="71" t="s">
        <v>508</v>
      </c>
      <c r="E13" s="71" t="s">
        <v>509</v>
      </c>
      <c r="F13" s="72" t="s">
        <v>510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23.25" hidden="false" customHeight="true" outlineLevel="0" collapsed="false">
      <c r="A14" s="1"/>
      <c r="B14" s="76" t="s">
        <v>511</v>
      </c>
      <c r="C14" s="77" t="s">
        <v>313</v>
      </c>
      <c r="D14" s="77" t="s">
        <v>512</v>
      </c>
      <c r="E14" s="77" t="s">
        <v>313</v>
      </c>
      <c r="F14" s="78" t="s">
        <v>513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23.25" hidden="false" customHeight="true" outlineLevel="0" collapsed="false">
      <c r="A15" s="1"/>
      <c r="B15" s="76" t="s">
        <v>514</v>
      </c>
      <c r="C15" s="77" t="s">
        <v>313</v>
      </c>
      <c r="D15" s="77" t="s">
        <v>515</v>
      </c>
      <c r="E15" s="77" t="s">
        <v>313</v>
      </c>
      <c r="F15" s="78" t="s">
        <v>516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23.25" hidden="false" customHeight="true" outlineLevel="0" collapsed="false">
      <c r="A16" s="1"/>
      <c r="B16" s="76" t="s">
        <v>517</v>
      </c>
      <c r="C16" s="77" t="s">
        <v>313</v>
      </c>
      <c r="D16" s="77" t="s">
        <v>313</v>
      </c>
      <c r="E16" s="77" t="s">
        <v>518</v>
      </c>
      <c r="F16" s="78" t="s">
        <v>519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45" hidden="false" customHeight="true" outlineLevel="0" collapsed="false">
      <c r="A18" s="1"/>
      <c r="B18" s="79" t="s">
        <v>520</v>
      </c>
      <c r="C18" s="79"/>
      <c r="D18" s="79"/>
      <c r="E18" s="79"/>
      <c r="F18" s="7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F2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3545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0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5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7.25" hidden="false" customHeight="true" outlineLevel="0" collapsed="false">
      <c r="A2" s="1"/>
      <c r="B2" s="2" t="s">
        <v>521</v>
      </c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true" outlineLevel="0" collapsed="false">
      <c r="A3" s="1"/>
      <c r="B3" s="3" t="s">
        <v>522</v>
      </c>
      <c r="C3" s="3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1"/>
      <c r="B5" s="70" t="s">
        <v>523</v>
      </c>
      <c r="C5" s="70" t="s">
        <v>524</v>
      </c>
      <c r="D5" s="70" t="s">
        <v>525</v>
      </c>
      <c r="E5" s="70" t="s">
        <v>526</v>
      </c>
      <c r="F5" s="70" t="s">
        <v>527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1"/>
      <c r="B7" s="5" t="s">
        <v>528</v>
      </c>
      <c r="C7" s="6"/>
      <c r="D7" s="6"/>
      <c r="E7" s="6"/>
      <c r="F7" s="6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64.5" hidden="false" customHeight="true" outlineLevel="0" collapsed="false">
      <c r="A8" s="1"/>
      <c r="B8" s="80" t="s">
        <v>529</v>
      </c>
      <c r="C8" s="81" t="s">
        <v>530</v>
      </c>
      <c r="D8" s="71" t="s">
        <v>531</v>
      </c>
      <c r="E8" s="71" t="s">
        <v>532</v>
      </c>
      <c r="F8" s="71" t="s">
        <v>533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64.5" hidden="false" customHeight="true" outlineLevel="0" collapsed="false">
      <c r="A9" s="1"/>
      <c r="B9" s="80" t="s">
        <v>534</v>
      </c>
      <c r="C9" s="81" t="s">
        <v>535</v>
      </c>
      <c r="D9" s="71" t="s">
        <v>531</v>
      </c>
      <c r="E9" s="82" t="n">
        <v>46156</v>
      </c>
      <c r="F9" s="71" t="s">
        <v>533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64.5" hidden="false" customHeight="true" outlineLevel="0" collapsed="false">
      <c r="A10" s="1"/>
      <c r="B10" s="80" t="s">
        <v>536</v>
      </c>
      <c r="C10" s="81" t="s">
        <v>537</v>
      </c>
      <c r="D10" s="71" t="s">
        <v>531</v>
      </c>
      <c r="E10" s="82" t="n">
        <v>46162</v>
      </c>
      <c r="F10" s="71" t="s">
        <v>533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64.5" hidden="false" customHeight="true" outlineLevel="0" collapsed="false">
      <c r="A11" s="1"/>
      <c r="B11" s="80" t="s">
        <v>538</v>
      </c>
      <c r="C11" s="81" t="s">
        <v>539</v>
      </c>
      <c r="D11" s="71" t="s">
        <v>531</v>
      </c>
      <c r="E11" s="82" t="n">
        <v>46169</v>
      </c>
      <c r="F11" s="71" t="s">
        <v>533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A12" s="1"/>
      <c r="B12" s="5" t="s">
        <v>540</v>
      </c>
      <c r="C12" s="6"/>
      <c r="D12" s="6"/>
      <c r="E12" s="6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64.5" hidden="false" customHeight="true" outlineLevel="0" collapsed="false">
      <c r="A13" s="1"/>
      <c r="B13" s="80" t="s">
        <v>541</v>
      </c>
      <c r="C13" s="81" t="s">
        <v>542</v>
      </c>
      <c r="D13" s="71" t="s">
        <v>543</v>
      </c>
      <c r="E13" s="82" t="n">
        <v>46154</v>
      </c>
      <c r="F13" s="71" t="s">
        <v>533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64.5" hidden="false" customHeight="true" outlineLevel="0" collapsed="false">
      <c r="A14" s="1"/>
      <c r="B14" s="80" t="s">
        <v>544</v>
      </c>
      <c r="C14" s="81" t="s">
        <v>545</v>
      </c>
      <c r="D14" s="71" t="s">
        <v>543</v>
      </c>
      <c r="E14" s="82" t="n">
        <v>46159</v>
      </c>
      <c r="F14" s="71" t="s">
        <v>533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64.5" hidden="false" customHeight="true" outlineLevel="0" collapsed="false">
      <c r="A15" s="1"/>
      <c r="B15" s="80" t="s">
        <v>546</v>
      </c>
      <c r="C15" s="81" t="s">
        <v>547</v>
      </c>
      <c r="D15" s="71" t="s">
        <v>543</v>
      </c>
      <c r="E15" s="71" t="s">
        <v>548</v>
      </c>
      <c r="F15" s="71" t="s">
        <v>533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A16" s="1"/>
      <c r="B16" s="5" t="s">
        <v>549</v>
      </c>
      <c r="C16" s="6"/>
      <c r="D16" s="6"/>
      <c r="E16" s="6"/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64.5" hidden="false" customHeight="true" outlineLevel="0" collapsed="false">
      <c r="A17" s="1"/>
      <c r="B17" s="80" t="s">
        <v>550</v>
      </c>
      <c r="C17" s="81" t="s">
        <v>551</v>
      </c>
      <c r="D17" s="71" t="s">
        <v>531</v>
      </c>
      <c r="E17" s="71" t="s">
        <v>552</v>
      </c>
      <c r="F17" s="71" t="s">
        <v>533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64.5" hidden="false" customHeight="true" outlineLevel="0" collapsed="false">
      <c r="A18" s="1"/>
      <c r="B18" s="80" t="s">
        <v>553</v>
      </c>
      <c r="C18" s="81" t="s">
        <v>554</v>
      </c>
      <c r="D18" s="71" t="s">
        <v>531</v>
      </c>
      <c r="E18" s="71" t="s">
        <v>555</v>
      </c>
      <c r="F18" s="71" t="s">
        <v>533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64.5" hidden="false" customHeight="true" outlineLevel="0" collapsed="false">
      <c r="A19" s="1"/>
      <c r="B19" s="80" t="s">
        <v>556</v>
      </c>
      <c r="C19" s="81" t="s">
        <v>557</v>
      </c>
      <c r="D19" s="71" t="s">
        <v>531</v>
      </c>
      <c r="E19" s="71" t="s">
        <v>558</v>
      </c>
      <c r="F19" s="71" t="s">
        <v>533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64.5" hidden="false" customHeight="true" outlineLevel="0" collapsed="false">
      <c r="A20" s="1"/>
      <c r="B20" s="80" t="s">
        <v>559</v>
      </c>
      <c r="C20" s="81" t="s">
        <v>560</v>
      </c>
      <c r="D20" s="71" t="s">
        <v>531</v>
      </c>
      <c r="E20" s="71" t="s">
        <v>561</v>
      </c>
      <c r="F20" s="71" t="s">
        <v>533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" hidden="false" customHeight="true" outlineLevel="0" collapsed="false">
      <c r="A21" s="1"/>
      <c r="B21" s="5" t="s">
        <v>562</v>
      </c>
      <c r="C21" s="6"/>
      <c r="D21" s="6"/>
      <c r="E21" s="6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64.5" hidden="false" customHeight="true" outlineLevel="0" collapsed="false">
      <c r="A22" s="1"/>
      <c r="B22" s="80" t="s">
        <v>541</v>
      </c>
      <c r="C22" s="81" t="s">
        <v>563</v>
      </c>
      <c r="D22" s="71" t="s">
        <v>543</v>
      </c>
      <c r="E22" s="71" t="s">
        <v>564</v>
      </c>
      <c r="F22" s="71" t="s">
        <v>533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64.5" hidden="false" customHeight="true" outlineLevel="0" collapsed="false">
      <c r="A23" s="1"/>
      <c r="B23" s="80" t="s">
        <v>544</v>
      </c>
      <c r="C23" s="81" t="s">
        <v>565</v>
      </c>
      <c r="D23" s="71" t="s">
        <v>543</v>
      </c>
      <c r="E23" s="71" t="s">
        <v>566</v>
      </c>
      <c r="F23" s="71" t="s">
        <v>533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64.5" hidden="false" customHeight="true" outlineLevel="0" collapsed="false">
      <c r="A24" s="1"/>
      <c r="B24" s="80" t="s">
        <v>546</v>
      </c>
      <c r="C24" s="81" t="s">
        <v>567</v>
      </c>
      <c r="D24" s="71" t="s">
        <v>543</v>
      </c>
      <c r="E24" s="71" t="s">
        <v>568</v>
      </c>
      <c r="F24" s="71" t="s">
        <v>533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" hidden="false" customHeight="true" outlineLevel="0" collapsed="false">
      <c r="A25" s="1"/>
      <c r="B25" s="5" t="s">
        <v>569</v>
      </c>
      <c r="C25" s="6"/>
      <c r="D25" s="6"/>
      <c r="E25" s="6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64.5" hidden="false" customHeight="true" outlineLevel="0" collapsed="false">
      <c r="A26" s="1"/>
      <c r="B26" s="80" t="s">
        <v>570</v>
      </c>
      <c r="C26" s="81" t="s">
        <v>571</v>
      </c>
      <c r="D26" s="71" t="s">
        <v>531</v>
      </c>
      <c r="E26" s="71" t="s">
        <v>568</v>
      </c>
      <c r="F26" s="71" t="s">
        <v>533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64.5" hidden="false" customHeight="true" outlineLevel="0" collapsed="false">
      <c r="A27" s="1"/>
      <c r="B27" s="80" t="s">
        <v>572</v>
      </c>
      <c r="C27" s="81" t="s">
        <v>573</v>
      </c>
      <c r="D27" s="71" t="s">
        <v>531</v>
      </c>
      <c r="E27" s="71" t="s">
        <v>574</v>
      </c>
      <c r="F27" s="71" t="s">
        <v>533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64.5" hidden="false" customHeight="true" outlineLevel="0" collapsed="false">
      <c r="A28" s="1"/>
      <c r="B28" s="80" t="s">
        <v>575</v>
      </c>
      <c r="C28" s="81" t="s">
        <v>576</v>
      </c>
      <c r="D28" s="71" t="s">
        <v>531</v>
      </c>
      <c r="E28" s="71" t="s">
        <v>577</v>
      </c>
      <c r="F28" s="71" t="s">
        <v>533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64.5" hidden="false" customHeight="true" outlineLevel="0" collapsed="false">
      <c r="A29" s="1"/>
      <c r="B29" s="80" t="s">
        <v>578</v>
      </c>
      <c r="C29" s="81" t="s">
        <v>579</v>
      </c>
      <c r="D29" s="71" t="s">
        <v>531</v>
      </c>
      <c r="E29" s="71" t="s">
        <v>580</v>
      </c>
      <c r="F29" s="71" t="s">
        <v>533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" hidden="false" customHeight="true" outlineLevel="0" collapsed="false">
      <c r="A30" s="1"/>
      <c r="B30" s="5" t="s">
        <v>581</v>
      </c>
      <c r="C30" s="6"/>
      <c r="D30" s="6"/>
      <c r="E30" s="6"/>
      <c r="F30" s="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64.5" hidden="false" customHeight="true" outlineLevel="0" collapsed="false">
      <c r="A31" s="1"/>
      <c r="B31" s="80" t="s">
        <v>541</v>
      </c>
      <c r="C31" s="81" t="s">
        <v>582</v>
      </c>
      <c r="D31" s="71" t="s">
        <v>543</v>
      </c>
      <c r="E31" s="71" t="s">
        <v>583</v>
      </c>
      <c r="F31" s="71" t="s">
        <v>533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64.5" hidden="false" customHeight="true" outlineLevel="0" collapsed="false">
      <c r="A32" s="1"/>
      <c r="B32" s="80" t="s">
        <v>544</v>
      </c>
      <c r="C32" s="81" t="s">
        <v>584</v>
      </c>
      <c r="D32" s="71" t="s">
        <v>543</v>
      </c>
      <c r="E32" s="71" t="s">
        <v>585</v>
      </c>
      <c r="F32" s="71" t="s">
        <v>533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64.5" hidden="false" customHeight="true" outlineLevel="0" collapsed="false">
      <c r="A33" s="1"/>
      <c r="B33" s="80" t="s">
        <v>546</v>
      </c>
      <c r="C33" s="81" t="s">
        <v>586</v>
      </c>
      <c r="D33" s="71" t="s">
        <v>543</v>
      </c>
      <c r="E33" s="71" t="s">
        <v>587</v>
      </c>
      <c r="F33" s="71" t="s">
        <v>533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A2B8"/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5" min="3" style="0" width="35"/>
    <col collapsed="false" customWidth="true" hidden="false" outlineLevel="0" max="6" min="6" style="0" width="8.71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7.25" hidden="false" customHeight="true" outlineLevel="0" collapsed="false">
      <c r="A2" s="1"/>
      <c r="B2" s="2" t="s">
        <v>588</v>
      </c>
      <c r="C2" s="2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A4" s="1"/>
      <c r="B4" s="70" t="s">
        <v>589</v>
      </c>
      <c r="C4" s="70" t="s">
        <v>590</v>
      </c>
      <c r="D4" s="70" t="s">
        <v>591</v>
      </c>
      <c r="E4" s="70" t="s">
        <v>592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24.75" hidden="false" customHeight="true" outlineLevel="0" collapsed="false">
      <c r="A5" s="1"/>
      <c r="B5" s="76" t="s">
        <v>593</v>
      </c>
      <c r="C5" s="83" t="s">
        <v>313</v>
      </c>
      <c r="D5" s="83" t="s">
        <v>313</v>
      </c>
      <c r="E5" s="84" t="s">
        <v>594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38.25" hidden="false" customHeight="true" outlineLevel="0" collapsed="false">
      <c r="A6" s="1"/>
      <c r="B6" s="85" t="s">
        <v>532</v>
      </c>
      <c r="C6" s="86" t="s">
        <v>313</v>
      </c>
      <c r="D6" s="86" t="s">
        <v>595</v>
      </c>
      <c r="E6" s="87" t="s">
        <v>596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24.75" hidden="false" customHeight="true" outlineLevel="0" collapsed="false">
      <c r="A7" s="1"/>
      <c r="B7" s="76" t="s">
        <v>552</v>
      </c>
      <c r="C7" s="83" t="s">
        <v>313</v>
      </c>
      <c r="D7" s="83" t="s">
        <v>313</v>
      </c>
      <c r="E7" s="84" t="s">
        <v>597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36" hidden="false" customHeight="true" outlineLevel="0" collapsed="false">
      <c r="A8" s="1"/>
      <c r="B8" s="85" t="s">
        <v>598</v>
      </c>
      <c r="C8" s="86" t="s">
        <v>313</v>
      </c>
      <c r="D8" s="86" t="s">
        <v>313</v>
      </c>
      <c r="E8" s="87" t="s">
        <v>599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24.75" hidden="false" customHeight="true" outlineLevel="0" collapsed="false">
      <c r="A9" s="1"/>
      <c r="B9" s="88" t="s">
        <v>587</v>
      </c>
      <c r="C9" s="89" t="s">
        <v>313</v>
      </c>
      <c r="D9" s="89" t="s">
        <v>313</v>
      </c>
      <c r="E9" s="90" t="s">
        <v>600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24.75" hidden="false" customHeight="true" outlineLevel="0" collapsed="false">
      <c r="A10" s="1"/>
      <c r="B10" s="85" t="s">
        <v>601</v>
      </c>
      <c r="C10" s="86" t="s">
        <v>602</v>
      </c>
      <c r="D10" s="86" t="s">
        <v>603</v>
      </c>
      <c r="E10" s="86" t="s">
        <v>313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24.75" hidden="false" customHeight="true" outlineLevel="0" collapsed="false">
      <c r="A11" s="1"/>
      <c r="B11" s="80" t="s">
        <v>604</v>
      </c>
      <c r="C11" s="91" t="s">
        <v>605</v>
      </c>
      <c r="D11" s="91" t="s">
        <v>606</v>
      </c>
      <c r="E11" s="91" t="s">
        <v>313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24.75" hidden="false" customHeight="true" outlineLevel="0" collapsed="false">
      <c r="A12" s="1"/>
      <c r="B12" s="85" t="s">
        <v>607</v>
      </c>
      <c r="C12" s="86" t="s">
        <v>608</v>
      </c>
      <c r="D12" s="86" t="s">
        <v>609</v>
      </c>
      <c r="E12" s="86" t="s">
        <v>313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4.75" hidden="false" customHeight="true" outlineLevel="0" collapsed="false">
      <c r="A13" s="1"/>
      <c r="B13" s="80" t="s">
        <v>610</v>
      </c>
      <c r="C13" s="91" t="s">
        <v>611</v>
      </c>
      <c r="D13" s="91" t="s">
        <v>612</v>
      </c>
      <c r="E13" s="91" t="s">
        <v>313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24.75" hidden="false" customHeight="true" outlineLevel="0" collapsed="false">
      <c r="A14" s="1"/>
      <c r="B14" s="85" t="s">
        <v>613</v>
      </c>
      <c r="C14" s="86" t="s">
        <v>614</v>
      </c>
      <c r="D14" s="86" t="s">
        <v>615</v>
      </c>
      <c r="E14" s="86" t="s">
        <v>313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24.75" hidden="false" customHeight="true" outlineLevel="0" collapsed="false">
      <c r="A15" s="1"/>
      <c r="B15" s="80" t="s">
        <v>616</v>
      </c>
      <c r="C15" s="91" t="s">
        <v>617</v>
      </c>
      <c r="D15" s="91" t="s">
        <v>618</v>
      </c>
      <c r="E15" s="92" t="s">
        <v>619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24.75" hidden="false" customHeight="true" outlineLevel="0" collapsed="false">
      <c r="A16" s="1"/>
      <c r="B16" s="85" t="s">
        <v>620</v>
      </c>
      <c r="C16" s="86" t="s">
        <v>313</v>
      </c>
      <c r="D16" s="86" t="s">
        <v>621</v>
      </c>
      <c r="E16" s="86" t="s">
        <v>313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24.75" hidden="false" customHeight="true" outlineLevel="0" collapsed="false">
      <c r="A17" s="1"/>
      <c r="B17" s="80" t="s">
        <v>622</v>
      </c>
      <c r="C17" s="91" t="s">
        <v>623</v>
      </c>
      <c r="D17" s="91" t="s">
        <v>624</v>
      </c>
      <c r="E17" s="91" t="s">
        <v>313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33.75" hidden="false" customHeight="true" outlineLevel="0" collapsed="false">
      <c r="A18" s="1"/>
      <c r="B18" s="85" t="s">
        <v>625</v>
      </c>
      <c r="C18" s="86" t="s">
        <v>626</v>
      </c>
      <c r="D18" s="86" t="s">
        <v>627</v>
      </c>
      <c r="E18" s="87" t="s">
        <v>628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24.75" hidden="false" customHeight="true" outlineLevel="0" collapsed="false">
      <c r="A19" s="1"/>
      <c r="B19" s="80" t="s">
        <v>629</v>
      </c>
      <c r="C19" s="91" t="s">
        <v>313</v>
      </c>
      <c r="D19" s="91" t="s">
        <v>630</v>
      </c>
      <c r="E19" s="91" t="s">
        <v>313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2026-04-16T13:49:52Z</dcterms:created>
  <dc:creator>openpyxl</dc:creator>
  <dc:description/>
  <dc:language>en-US</dc:language>
  <cp:lastModifiedBy/>
  <dcterms:modified xsi:type="dcterms:W3CDTF">2026-04-16T17:26:39Z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